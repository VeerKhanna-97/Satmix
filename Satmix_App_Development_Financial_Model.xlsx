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eer\Satmix\Website 4.0\"/>
    </mc:Choice>
  </mc:AlternateContent>
  <xr:revisionPtr revIDLastSave="0" documentId="8_{CB9929D1-4D57-4E41-9981-9C627A56FCEC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Executive Summary" sheetId="1" r:id="rId1"/>
    <sheet name="Team Expansion" sheetId="2" r:id="rId2"/>
    <sheet name="Cloud &amp; Infra" sheetId="3" r:id="rId3"/>
    <sheet name="Fintech APIs &amp; Rails" sheetId="4" r:id="rId4"/>
    <sheet name="Security &amp; Compliance" sheetId="5" r:id="rId5"/>
    <sheet name="Tooling &amp; Licences" sheetId="6" r:id="rId6"/>
    <sheet name="Unit Economics &amp; Scenari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7" l="1"/>
  <c r="F10" i="7" s="1"/>
  <c r="G10" i="7" s="1"/>
  <c r="C12" i="7"/>
  <c r="F6" i="7"/>
  <c r="G6" i="7" s="1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2" i="6"/>
  <c r="N11" i="6"/>
  <c r="N10" i="6"/>
  <c r="N9" i="6"/>
  <c r="N8" i="6"/>
  <c r="N7" i="6"/>
  <c r="N6" i="6"/>
  <c r="N5" i="6"/>
  <c r="M12" i="5"/>
  <c r="L12" i="5"/>
  <c r="K12" i="5"/>
  <c r="J12" i="5"/>
  <c r="I12" i="5"/>
  <c r="H12" i="5"/>
  <c r="G12" i="5"/>
  <c r="F12" i="5"/>
  <c r="E12" i="5"/>
  <c r="D12" i="5"/>
  <c r="C12" i="5"/>
  <c r="B12" i="5"/>
  <c r="N10" i="5"/>
  <c r="N9" i="5"/>
  <c r="N8" i="5"/>
  <c r="N7" i="5"/>
  <c r="N6" i="5"/>
  <c r="N5" i="5"/>
  <c r="N12" i="5" s="1"/>
  <c r="M14" i="4"/>
  <c r="L14" i="4"/>
  <c r="K14" i="4"/>
  <c r="J14" i="4"/>
  <c r="I14" i="4"/>
  <c r="H14" i="4"/>
  <c r="G14" i="4"/>
  <c r="F14" i="4"/>
  <c r="E14" i="4"/>
  <c r="D14" i="4"/>
  <c r="C14" i="4"/>
  <c r="B14" i="4"/>
  <c r="N12" i="4"/>
  <c r="N11" i="4"/>
  <c r="N10" i="4"/>
  <c r="N9" i="4"/>
  <c r="N8" i="4"/>
  <c r="N7" i="4"/>
  <c r="N6" i="4"/>
  <c r="N5" i="4"/>
  <c r="N14" i="4" s="1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N10" i="3"/>
  <c r="N9" i="3"/>
  <c r="N8" i="3"/>
  <c r="N7" i="3"/>
  <c r="N6" i="3"/>
  <c r="N5" i="3"/>
  <c r="N12" i="3" s="1"/>
  <c r="P16" i="2"/>
  <c r="O16" i="2"/>
  <c r="N16" i="2"/>
  <c r="K16" i="2"/>
  <c r="I16" i="2"/>
  <c r="H16" i="2"/>
  <c r="G16" i="2"/>
  <c r="R14" i="2"/>
  <c r="Q14" i="2"/>
  <c r="P14" i="2"/>
  <c r="O14" i="2"/>
  <c r="N14" i="2"/>
  <c r="M14" i="2"/>
  <c r="L14" i="2"/>
  <c r="K14" i="2"/>
  <c r="J14" i="2"/>
  <c r="I14" i="2"/>
  <c r="H14" i="2"/>
  <c r="G14" i="2"/>
  <c r="S14" i="2" s="1"/>
  <c r="F14" i="2"/>
  <c r="R13" i="2"/>
  <c r="Q13" i="2"/>
  <c r="P13" i="2"/>
  <c r="O13" i="2"/>
  <c r="N13" i="2"/>
  <c r="M13" i="2"/>
  <c r="L13" i="2"/>
  <c r="K13" i="2"/>
  <c r="J13" i="2"/>
  <c r="I13" i="2"/>
  <c r="H13" i="2"/>
  <c r="G13" i="2"/>
  <c r="S13" i="2" s="1"/>
  <c r="F13" i="2"/>
  <c r="R12" i="2"/>
  <c r="Q12" i="2"/>
  <c r="P12" i="2"/>
  <c r="O12" i="2"/>
  <c r="N12" i="2"/>
  <c r="M12" i="2"/>
  <c r="L12" i="2"/>
  <c r="K12" i="2"/>
  <c r="J12" i="2"/>
  <c r="I12" i="2"/>
  <c r="H12" i="2"/>
  <c r="G12" i="2"/>
  <c r="S12" i="2" s="1"/>
  <c r="F12" i="2"/>
  <c r="R11" i="2"/>
  <c r="Q11" i="2"/>
  <c r="P11" i="2"/>
  <c r="O11" i="2"/>
  <c r="N11" i="2"/>
  <c r="M11" i="2"/>
  <c r="L11" i="2"/>
  <c r="K11" i="2"/>
  <c r="J11" i="2"/>
  <c r="I11" i="2"/>
  <c r="H11" i="2"/>
  <c r="G11" i="2"/>
  <c r="S11" i="2" s="1"/>
  <c r="F11" i="2"/>
  <c r="R10" i="2"/>
  <c r="Q10" i="2"/>
  <c r="P10" i="2"/>
  <c r="O10" i="2"/>
  <c r="N10" i="2"/>
  <c r="M10" i="2"/>
  <c r="L10" i="2"/>
  <c r="K10" i="2"/>
  <c r="J10" i="2"/>
  <c r="I10" i="2"/>
  <c r="H10" i="2"/>
  <c r="G10" i="2"/>
  <c r="S10" i="2" s="1"/>
  <c r="F10" i="2"/>
  <c r="R9" i="2"/>
  <c r="Q9" i="2"/>
  <c r="P9" i="2"/>
  <c r="O9" i="2"/>
  <c r="N9" i="2"/>
  <c r="M9" i="2"/>
  <c r="L9" i="2"/>
  <c r="K9" i="2"/>
  <c r="J9" i="2"/>
  <c r="I9" i="2"/>
  <c r="H9" i="2"/>
  <c r="G9" i="2"/>
  <c r="S9" i="2" s="1"/>
  <c r="F9" i="2"/>
  <c r="R8" i="2"/>
  <c r="Q8" i="2"/>
  <c r="P8" i="2"/>
  <c r="O8" i="2"/>
  <c r="N8" i="2"/>
  <c r="M8" i="2"/>
  <c r="L8" i="2"/>
  <c r="K8" i="2"/>
  <c r="J8" i="2"/>
  <c r="I8" i="2"/>
  <c r="H8" i="2"/>
  <c r="G8" i="2"/>
  <c r="S8" i="2" s="1"/>
  <c r="F8" i="2"/>
  <c r="R7" i="2"/>
  <c r="Q7" i="2"/>
  <c r="P7" i="2"/>
  <c r="O7" i="2"/>
  <c r="N7" i="2"/>
  <c r="M7" i="2"/>
  <c r="L7" i="2"/>
  <c r="K7" i="2"/>
  <c r="J7" i="2"/>
  <c r="I7" i="2"/>
  <c r="H7" i="2"/>
  <c r="G7" i="2"/>
  <c r="S7" i="2" s="1"/>
  <c r="F7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R5" i="2"/>
  <c r="R20" i="2" s="1"/>
  <c r="Q5" i="2"/>
  <c r="Q16" i="2" s="1"/>
  <c r="P5" i="2"/>
  <c r="P20" i="2" s="1"/>
  <c r="O5" i="2"/>
  <c r="O20" i="2" s="1"/>
  <c r="N5" i="2"/>
  <c r="N20" i="2" s="1"/>
  <c r="M5" i="2"/>
  <c r="M20" i="2" s="1"/>
  <c r="M9" i="1" s="1"/>
  <c r="M14" i="1" s="1"/>
  <c r="L5" i="2"/>
  <c r="L20" i="2" s="1"/>
  <c r="L9" i="1" s="1"/>
  <c r="L14" i="1" s="1"/>
  <c r="K5" i="2"/>
  <c r="K20" i="2" s="1"/>
  <c r="K9" i="1" s="1"/>
  <c r="K14" i="1" s="1"/>
  <c r="J5" i="2"/>
  <c r="J20" i="2" s="1"/>
  <c r="J9" i="1" s="1"/>
  <c r="J14" i="1" s="1"/>
  <c r="I5" i="2"/>
  <c r="I20" i="2" s="1"/>
  <c r="I9" i="1" s="1"/>
  <c r="I14" i="1" s="1"/>
  <c r="H5" i="2"/>
  <c r="H20" i="2" s="1"/>
  <c r="H9" i="1" s="1"/>
  <c r="H14" i="1" s="1"/>
  <c r="G5" i="2"/>
  <c r="S5" i="2" s="1"/>
  <c r="F5" i="2"/>
  <c r="M19" i="1"/>
  <c r="L19" i="1"/>
  <c r="K19" i="1"/>
  <c r="J19" i="1"/>
  <c r="I19" i="1"/>
  <c r="H19" i="1"/>
  <c r="G19" i="1"/>
  <c r="F19" i="1"/>
  <c r="E19" i="1"/>
  <c r="D19" i="1"/>
  <c r="C19" i="1"/>
  <c r="B19" i="1"/>
  <c r="N19" i="1" s="1"/>
  <c r="M13" i="1"/>
  <c r="L13" i="1"/>
  <c r="K13" i="1"/>
  <c r="J13" i="1"/>
  <c r="I13" i="1"/>
  <c r="H13" i="1"/>
  <c r="G13" i="1"/>
  <c r="F13" i="1"/>
  <c r="E13" i="1"/>
  <c r="D13" i="1"/>
  <c r="C13" i="1"/>
  <c r="B13" i="1"/>
  <c r="N13" i="1" s="1"/>
  <c r="M12" i="1"/>
  <c r="L12" i="1"/>
  <c r="K12" i="1"/>
  <c r="J12" i="1"/>
  <c r="I12" i="1"/>
  <c r="H12" i="1"/>
  <c r="G12" i="1"/>
  <c r="F12" i="1"/>
  <c r="E12" i="1"/>
  <c r="D12" i="1"/>
  <c r="C12" i="1"/>
  <c r="B12" i="1"/>
  <c r="N12" i="1" s="1"/>
  <c r="M11" i="1"/>
  <c r="L11" i="1"/>
  <c r="K11" i="1"/>
  <c r="J11" i="1"/>
  <c r="I11" i="1"/>
  <c r="H11" i="1"/>
  <c r="G11" i="1"/>
  <c r="F11" i="1"/>
  <c r="E11" i="1"/>
  <c r="D11" i="1"/>
  <c r="C11" i="1"/>
  <c r="B11" i="1"/>
  <c r="N11" i="1" s="1"/>
  <c r="M10" i="1"/>
  <c r="L10" i="1"/>
  <c r="K10" i="1"/>
  <c r="J10" i="1"/>
  <c r="I10" i="1"/>
  <c r="H10" i="1"/>
  <c r="G10" i="1"/>
  <c r="F10" i="1"/>
  <c r="E10" i="1"/>
  <c r="D10" i="1"/>
  <c r="C10" i="1"/>
  <c r="B10" i="1"/>
  <c r="N10" i="1" s="1"/>
  <c r="F9" i="1"/>
  <c r="F14" i="1" s="1"/>
  <c r="E9" i="1"/>
  <c r="E14" i="1" s="1"/>
  <c r="D9" i="1"/>
  <c r="D14" i="1" s="1"/>
  <c r="C9" i="1"/>
  <c r="C14" i="1" s="1"/>
  <c r="B9" i="1"/>
  <c r="B14" i="1" s="1"/>
  <c r="G5" i="1"/>
  <c r="D5" i="1"/>
  <c r="A5" i="1"/>
  <c r="I15" i="1" l="1"/>
  <c r="I16" i="1"/>
  <c r="I20" i="1" s="1"/>
  <c r="J15" i="1"/>
  <c r="J16" i="1" s="1"/>
  <c r="J20" i="1" s="1"/>
  <c r="L15" i="1"/>
  <c r="L16" i="1" s="1"/>
  <c r="L20" i="1" s="1"/>
  <c r="B15" i="1"/>
  <c r="M15" i="1"/>
  <c r="M16" i="1"/>
  <c r="M20" i="1" s="1"/>
  <c r="K15" i="1"/>
  <c r="K16" i="1" s="1"/>
  <c r="K20" i="1" s="1"/>
  <c r="C16" i="1"/>
  <c r="C20" i="1" s="1"/>
  <c r="C15" i="1"/>
  <c r="D15" i="1"/>
  <c r="D16" i="1"/>
  <c r="D20" i="1" s="1"/>
  <c r="S20" i="2"/>
  <c r="E15" i="1"/>
  <c r="E16" i="1" s="1"/>
  <c r="E20" i="1" s="1"/>
  <c r="F15" i="1"/>
  <c r="F16" i="1" s="1"/>
  <c r="F20" i="1" s="1"/>
  <c r="H15" i="1"/>
  <c r="H16" i="1" s="1"/>
  <c r="H20" i="1" s="1"/>
  <c r="R16" i="2"/>
  <c r="Q20" i="2"/>
  <c r="G20" i="2"/>
  <c r="G9" i="1" s="1"/>
  <c r="G14" i="1" s="1"/>
  <c r="F7" i="7"/>
  <c r="G7" i="7" s="1"/>
  <c r="J16" i="2"/>
  <c r="S16" i="2" s="1"/>
  <c r="F8" i="7"/>
  <c r="G8" i="7" s="1"/>
  <c r="N9" i="1"/>
  <c r="N14" i="1" s="1"/>
  <c r="L16" i="2"/>
  <c r="F9" i="7"/>
  <c r="G9" i="7" s="1"/>
  <c r="M16" i="2"/>
  <c r="G16" i="1" l="1"/>
  <c r="G20" i="1" s="1"/>
  <c r="G15" i="1"/>
  <c r="N15" i="1"/>
  <c r="N16" i="1" s="1"/>
  <c r="B16" i="1"/>
  <c r="N20" i="1" l="1"/>
  <c r="J5" i="1" s="1"/>
  <c r="N17" i="1"/>
  <c r="B17" i="1"/>
  <c r="C17" i="1" s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B20" i="1"/>
</calcChain>
</file>

<file path=xl/sharedStrings.xml><?xml version="1.0" encoding="utf-8"?>
<sst xmlns="http://schemas.openxmlformats.org/spreadsheetml/2006/main" count="225" uniqueCount="144">
  <si>
    <t>SATMIX DIGITAL INFRASTRUCTURE &amp; APP DEVELOPMENT BUDGET</t>
  </si>
  <si>
    <t>Master 12-Month Financial Model &amp; Cash Flow Projection | Prepared for CFO (Shashank Jajodia) by CTO (Veer Khanna)</t>
  </si>
  <si>
    <t>TOTAL 12M BUDGET</t>
  </si>
  <si>
    <t>PHASE 1 RUNWAY (M1-M4)</t>
  </si>
  <si>
    <t>PHASE 2 RUNWAY (M5-M12)</t>
  </si>
  <si>
    <t>WITH CLOUD CREDITS (EST.)</t>
  </si>
  <si>
    <t>Cost Category / Department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</si>
  <si>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</si>
  <si>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</si>
  <si>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</si>
  <si>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</si>
  <si>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</si>
  <si>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</si>
  <si>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</si>
  <si>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</si>
  <si>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</si>
  <si>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</si>
  <si>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</si>
  <si>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</si>
  <si>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12-Month Total</t>
  </si>
  <si>
    <t>1. Human Capital &amp; Engineering Team</t>
  </si>
  <si>
    <t>2. Cloud Infrastructure &amp; DevOps</t>
  </si>
  <si>
    <t>3. Fintech APIs, KYC &amp; Payment Rails</t>
  </si>
  <si>
    <t>4. Security Audits, VAPT &amp; FIU Tooling</t>
  </si>
  <si>
    <t>5. Developer Accounts &amp; Software Licences</t>
  </si>
  <si>
    <t>Operational Subtotal (Base)</t>
  </si>
  <si>
    <t>6. Contingency &amp; Scale Buffer (10%)</t>
  </si>
  <si>
    <t>GROSS MONTHLY CASH BURN</t>
  </si>
  <si>
    <t>Cumulative Cash Outlay</t>
  </si>
  <si>
    <t>Less: AWS Activate / Cloud Startup Credits (Est.)</t>
  </si>
  <si>
    <t>NET CASH BURN (AFTER CREDITS)</t>
  </si>
  <si>
    <t>HUMAN CAPITAL &amp; ENGINEERING TEAM EXPANSION MATRIX</t>
  </si>
  <si>
    <t>Headcount Ramp, CTC Benchmarks (INR) &amp; Month-by-Month Payroll Distribution</t>
  </si>
  <si>
    <t>Engineering / Product Role</t>
  </si>
  <si>
    <t>Role Type</t>
  </si>
  <si>
    <t>Seniority</t>
  </si>
  <si>
    <t>Start Month</t>
  </si>
  <si>
    <t>Monthly Base (₹)</t>
  </si>
  <si>
    <t>Annual CTC (₹ Lakhs)</t>
  </si>
  <si>
    <t>12M Total</t>
  </si>
  <si>
    <t>Senior Full-Stack &amp; React Native Lead</t>
  </si>
  <si>
    <t>FTE</t>
  </si>
  <si>
    <t>Senior (5+ Yrs)</t>
  </si>
  <si>
    <t>Backend &amp; Distributed Systems Engineer</t>
  </si>
  <si>
    <t>Contract -&gt; FTE</t>
  </si>
  <si>
    <t>Senior (4+ Yrs)</t>
  </si>
  <si>
    <t>UI/UX &amp; Product Design Specialist</t>
  </si>
  <si>
    <t>Contractor</t>
  </si>
  <si>
    <t>Mid-Senior</t>
  </si>
  <si>
    <t>QA Engineer &amp; Automation Tester</t>
  </si>
  <si>
    <t>Mid (2+ Yrs)</t>
  </si>
  <si>
    <t>Lead Mobile Native Engineer (iOS/Android)</t>
  </si>
  <si>
    <t>FTE (Expansion)</t>
  </si>
  <si>
    <t>Staff/Lead</t>
  </si>
  <si>
    <t>Senior Backend &amp; Infrastructure Engineer</t>
  </si>
  <si>
    <t>Full-time Product Designer (UI/UX)</t>
  </si>
  <si>
    <t>Mid (3+ Yrs)</t>
  </si>
  <si>
    <t>Cloud Security &amp; DevOps Specialist</t>
  </si>
  <si>
    <t>Retainer</t>
  </si>
  <si>
    <t>Expert/Consultant</t>
  </si>
  <si>
    <t>QA Automation Engineer (Full-time)</t>
  </si>
  <si>
    <t>Customer Tech Ops &amp; Integration Associate</t>
  </si>
  <si>
    <t>Junior-Mid</t>
  </si>
  <si>
    <t>Active Headcount (FTE + Retainers)</t>
  </si>
  <si>
    <t>TOTAL MONTHLY ENGINEERING &amp; PRODUCT PAYROLL</t>
  </si>
  <si>
    <t>CLOUD INFRASTRUCTURE, DATABASE &amp; HOSTING BUDGET</t>
  </si>
  <si>
    <t>AWS Architecture, Database Instances, Global Edge Hosting &amp; Observability</t>
  </si>
  <si>
    <t>Infrastructure Component</t>
  </si>
  <si>
    <t>Application Edge Hosting &amp; CDN (Vercel / AWS Amplify)</t>
  </si>
  <si>
    <t>Compute &amp; Microservices (AWS ECS Fargate / EC2)</t>
  </si>
  <si>
    <t>Database &amp; High Availability (Supabase / RDS Postgres + Redis)</t>
  </si>
  <si>
    <t>Storage &amp; Encrypted KYC S3 Buckets (AWS S3 + CloudFront)</t>
  </si>
  <si>
    <t>Logging, APM &amp; Observability (Datadog / Sentry / BetterStack)</t>
  </si>
  <si>
    <t>CI/CD Pipeline &amp; Automated Build Runners</t>
  </si>
  <si>
    <t>Disaster Recovery &amp; Redundant Backups</t>
  </si>
  <si>
    <t>TOTAL CLOUD INFRASTRUCTURE &amp; HOSTING</t>
  </si>
  <si>
    <t>FINTECH RAILS, KYC VERIFICATION &amp; PAYMENT GATEWAYS</t>
  </si>
  <si>
    <t>UPI Autopay Mandates, Aadhaar/PAN KYC Checks, SMS/WhatsApp Gateways &amp; Ticker Data</t>
  </si>
  <si>
    <t>Integration / Partner API</t>
  </si>
  <si>
    <t>Aadhaar e-KYC &amp; DigiLocker Verification (Hyperverge/IDfy)</t>
  </si>
  <si>
    <t>PAN Verification &amp; Fraud Screening API</t>
  </si>
  <si>
    <t>UPI Autopay &amp; E-Mandate Processing (Cashfree/Razorpay)</t>
  </si>
  <si>
    <t>SMS &amp; WhatsApp OTP Authentication (MSG91 / Gupshup)</t>
  </si>
  <si>
    <t>Live Crypto Market Data Feed (CoinGecko Pro API)</t>
  </si>
  <si>
    <t>Transactional Emails &amp; Notification Webhooks (Resend/SES)</t>
  </si>
  <si>
    <t>Exchange Liquidity / Custody Partner Webhooks &amp; Nodes</t>
  </si>
  <si>
    <t>Bank Payout &amp; Withdrawal Rails (Instant IMPS/NEFT)</t>
  </si>
  <si>
    <t>TOTAL FINTECH RAILS &amp; INTEGRATION APIS</t>
  </si>
  <si>
    <t>SECURITY AUDITS, VAPT &amp; FIU-IND COMPLIANCE BUDGET</t>
  </si>
  <si>
    <t>CERT-In Audits, Penetration Testing, AML Tooling, FIU Reporting &amp; Legal Tech Retainers</t>
  </si>
  <si>
    <t>Security &amp; Compliance Milestone</t>
  </si>
  <si>
    <t>CERT-In Certified VAPT Audit (Pre-Launch &amp; Bi-Annual)</t>
  </si>
  <si>
    <t>FIU-IND AML Screening &amp; Sanction Check Software</t>
  </si>
  <si>
    <t>Smart Contract / Non-Custodial Vault Logic Audit</t>
  </si>
  <si>
    <t>Cloudflare Enterprise DDoS Protection &amp; Wildcard SSL</t>
  </si>
  <si>
    <t>Legal Tech, ToS &amp; FIU Disclosures Retainer</t>
  </si>
  <si>
    <t>Data Protection &amp; ISO 27001 Readiness Prep</t>
  </si>
  <si>
    <t>TOTAL SECURITY, VAPT &amp; COMPLIANCE</t>
  </si>
  <si>
    <t>DEVELOPER ACCOUNTS, SOFTWARE LICENCES &amp; PRODUCTIVITY</t>
  </si>
  <si>
    <t>App Store, Google Play, GitHub Enterprise, Figma, Linear &amp; Team Productivity</t>
  </si>
  <si>
    <t>Software Tool / Licence</t>
  </si>
  <si>
    <t>Apple Developer Enterprise Program ($99/year)</t>
  </si>
  <si>
    <t>Google Play Developer Console ($25 one-time)</t>
  </si>
  <si>
    <t>GitHub Enterprise &amp; Copilot Team Licences</t>
  </si>
  <si>
    <t>Figma Organization (UI/UX Systems &amp; Design Tokens)</t>
  </si>
  <si>
    <t>Linear, Notion &amp; Postman Team Workspaces</t>
  </si>
  <si>
    <t>Google Workspace &amp; Domain Inboxes (10 Accounts)</t>
  </si>
  <si>
    <t>TestFlight &amp; Android Internal App Distribution Tools</t>
  </si>
  <si>
    <t>Code Signing &amp; Production SSL Certificates</t>
  </si>
  <si>
    <t>TOTAL SOFTWARE LICENCES &amp; TOOLING</t>
  </si>
  <si>
    <t>MARGINAL TECH UNIT ECONOMICS &amp; SCALE SCENARIOS</t>
  </si>
  <si>
    <t>One-Time Customer Onboarding Cost vs Monthly Active SIP Operational Cost</t>
  </si>
  <si>
    <t>One-Time Onboarding &amp; KYC Cost per User</t>
  </si>
  <si>
    <t>Scale Simulation Matrix</t>
  </si>
  <si>
    <t>Verification / Onboarding Step</t>
  </si>
  <si>
    <t>Vendor / Method</t>
  </si>
  <si>
    <t>Cost per User (INR)</t>
  </si>
  <si>
    <t>Active SIP Users</t>
  </si>
  <si>
    <t>Monthly Variable Tech (₹)</t>
  </si>
  <si>
    <t>Annualized Variable Cost</t>
  </si>
  <si>
    <t>Mobile OTP Authentication (2 attempts)</t>
  </si>
  <si>
    <t>MSG91 Gateway</t>
  </si>
  <si>
    <t>DigiLocker Aadhaar e-KYC Verification</t>
  </si>
  <si>
    <t>Hyperverge / IDfy</t>
  </si>
  <si>
    <t>Real-time PAN Database Validation</t>
  </si>
  <si>
    <t>NSDL / Income Tax API</t>
  </si>
  <si>
    <t>Liveness Check &amp; Anti-Fraud Face Match</t>
  </si>
  <si>
    <t>AI Verification Engine</t>
  </si>
  <si>
    <t>UPI Autopay Mandate Registration Setup</t>
  </si>
  <si>
    <t>Cashfree / Razorpay</t>
  </si>
  <si>
    <t>Encrypted Document Storage &amp; DB Indexing</t>
  </si>
  <si>
    <t>AWS S3 &amp; Postgres</t>
  </si>
  <si>
    <t>TOTAL ONE-TIME ONBOARDING TECH COST</t>
  </si>
  <si>
    <t>Monthly Recurring Tech Cost per Active SIP User (30 Days)</t>
  </si>
  <si>
    <t>Recurring Service Line</t>
  </si>
  <si>
    <t>Frequency / Assumption</t>
  </si>
  <si>
    <t>Cost per Mo (INR)</t>
  </si>
  <si>
    <t>UPI Recurring Autopay Execution</t>
  </si>
  <si>
    <t>30 Daily Debits @ ₹0.12/debit</t>
  </si>
  <si>
    <t>Streak Milestones &amp; Push Notifications</t>
  </si>
  <si>
    <t>FCM &amp; WhatsApp Triggers</t>
  </si>
  <si>
    <t>Database Transaction Records &amp; Rebalancing</t>
  </si>
  <si>
    <t>Postgres I/O &amp; Compute</t>
  </si>
  <si>
    <t>TOTAL MONTHLY TECH RUN COST / ACTIVE INVESTOR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</si>
</sst>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\ #,##0;[Red]\(\₹\ #,##0\);&quot;-&quot;"/>
    <numFmt numFmtId="165" formatCode="\₹\ 0.00\ &quot;L&quot;"/>
    <numFmt numFmtId="166" formatCode="\₹\ #,##0.0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4B5563"/>
      <name val="Calibri"/>
      <family val="2"/>
    </font>
    <font>
      <b/>
      <sz val="9"/>
      <color rgb="FF4B5563"/>
      <name val="Calibri"/>
      <family val="2"/>
    </font>
    <font>
      <b/>
      <sz val="14"/>
      <color rgb="FF1E1B4B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E1B4B"/>
      <name val="Calibri"/>
      <family val="2"/>
    </font>
    <font>
      <b/>
      <sz val="12"/>
      <color rgb="FF1E1B4B"/>
      <name val="Calibri"/>
      <family val="2"/>
    </font>
    <font>
      <i/>
      <sz val="10"/>
      <color rgb="FF047857"/>
      <name val="Calibri"/>
      <family val="2"/>
    </font>
    <font>
      <sz val="10"/>
      <color rgb="FF047857"/>
      <name val="Calibri"/>
      <family val="2"/>
    </font>
    <font>
      <b/>
      <sz val="10"/>
      <color rgb="FF047857"/>
      <name val="Calibri"/>
      <family val="2"/>
    </font>
    <font>
      <sz val="11"/>
      <color rgb="FF1D4ED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E0E7FF"/>
        <bgColor rgb="FFE0E7FF"/>
      </patternFill>
    </fill>
    <fill>
      <patternFill patternType="solid">
        <fgColor rgb="FFDCFCE7"/>
        <bgColor rgb="FFDCFCE7"/>
      </patternFill>
    </fill>
    <fill>
      <patternFill patternType="solid">
        <fgColor rgb="FF4338CA"/>
        <bgColor rgb="FF4338CA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double">
        <color rgb="FF1E1B4B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/>
    <xf numFmtId="0" fontId="6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0" fontId="8" fillId="4" borderId="1" xfId="0" applyFont="1" applyFill="1" applyBorder="1"/>
    <xf numFmtId="164" fontId="8" fillId="4" borderId="1" xfId="0" applyNumberFormat="1" applyFont="1" applyFill="1" applyBorder="1" applyAlignment="1">
      <alignment horizontal="right" vertical="center"/>
    </xf>
    <xf numFmtId="164" fontId="9" fillId="4" borderId="2" xfId="0" applyNumberFormat="1" applyFont="1" applyFill="1" applyBorder="1" applyAlignment="1">
      <alignment horizontal="right" vertical="center"/>
    </xf>
    <xf numFmtId="0" fontId="2" fillId="0" borderId="1" xfId="0" applyFont="1" applyBorder="1"/>
    <xf numFmtId="164" fontId="2" fillId="0" borderId="1" xfId="0" applyNumberFormat="1" applyFont="1" applyBorder="1"/>
    <xf numFmtId="164" fontId="6" fillId="0" borderId="1" xfId="0" applyNumberFormat="1" applyFont="1" applyBorder="1" applyAlignment="1">
      <alignment horizontal="right" vertical="center"/>
    </xf>
    <xf numFmtId="0" fontId="10" fillId="5" borderId="1" xfId="0" applyFont="1" applyFill="1" applyBorder="1"/>
    <xf numFmtId="164" fontId="11" fillId="5" borderId="1" xfId="0" applyNumberFormat="1" applyFont="1" applyFill="1" applyBorder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0" fontId="6" fillId="4" borderId="2" xfId="0" applyFont="1" applyFill="1" applyBorder="1"/>
    <xf numFmtId="164" fontId="6" fillId="4" borderId="2" xfId="0" applyNumberFormat="1" applyFont="1" applyFill="1" applyBorder="1" applyAlignment="1">
      <alignment horizontal="right" vertical="center"/>
    </xf>
    <xf numFmtId="0" fontId="7" fillId="0" borderId="1" xfId="0" applyFont="1" applyBorder="1"/>
    <xf numFmtId="0" fontId="7" fillId="0" borderId="1" xfId="0" applyFont="1" applyBorder="1" applyAlignment="1">
      <alignment horizontal="right" vertical="center"/>
    </xf>
    <xf numFmtId="164" fontId="13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6" fillId="3" borderId="1" xfId="0" applyFont="1" applyFill="1" applyBorder="1" applyAlignment="1">
      <alignment horizontal="right" vertical="center"/>
    </xf>
    <xf numFmtId="0" fontId="0" fillId="4" borderId="2" xfId="0" applyFill="1" applyBorder="1"/>
    <xf numFmtId="0" fontId="8" fillId="0" borderId="0" xfId="0" applyFont="1"/>
    <xf numFmtId="0" fontId="5" fillId="6" borderId="0" xfId="0" applyFont="1" applyFill="1"/>
    <xf numFmtId="0" fontId="5" fillId="6" borderId="0" xfId="0" applyFont="1" applyFill="1" applyAlignment="1">
      <alignment horizontal="right" vertical="center"/>
    </xf>
    <xf numFmtId="0" fontId="5" fillId="2" borderId="0" xfId="0" applyFont="1" applyFill="1"/>
    <xf numFmtId="166" fontId="13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6" fontId="6" fillId="4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164" fontId="4" fillId="5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opLeftCell="A2" workbookViewId="0">
      <selection sqref="A1:N1"/>
    </sheetView>
  </sheetViews>
  <sheetFormatPr defaultRowHeight="14.4" x14ac:dyDescent="0.3"/>
  <cols>
    <col min="1" max="1" width="44" customWidth="1"/>
    <col min="2" max="3" width="14" customWidth="1"/>
    <col min="4" max="4" width="26" customWidth="1"/>
    <col min="5" max="6" width="14" customWidth="1"/>
    <col min="7" max="7" width="27" customWidth="1"/>
    <col min="8" max="9" width="14" customWidth="1"/>
    <col min="10" max="10" width="29" customWidth="1"/>
    <col min="11" max="13" width="14" customWidth="1"/>
    <col min="14" max="14" width="18" customWidth="1"/>
  </cols>
  <sheetData>
    <row r="1" spans="1:14" ht="40.049999999999997" customHeight="1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19.95" customHeight="1" x14ac:dyDescent="0.3">
      <c r="A2" s="1" t="s">
        <v>1</v>
      </c>
    </row>
    <row r="4" spans="1:14" x14ac:dyDescent="0.3">
      <c r="A4" s="42" t="s">
        <v>2</v>
      </c>
      <c r="B4" s="38"/>
      <c r="C4" s="38"/>
      <c r="D4" s="2" t="s">
        <v>3</v>
      </c>
      <c r="E4" s="38"/>
      <c r="F4" s="38"/>
      <c r="G4" s="2" t="s">
        <v>4</v>
      </c>
      <c r="H4" s="38"/>
      <c r="I4" s="38"/>
      <c r="J4" s="41" t="s">
        <v>5</v>
      </c>
      <c r="K4" s="38"/>
      <c r="L4" s="38"/>
    </row>
    <row r="5" spans="1:14" ht="18" x14ac:dyDescent="0.3">
      <c r="A5" s="40">
        <f>N18</f>
        <v>0</v>
      </c>
      <c r="B5" s="38"/>
      <c r="C5" s="38"/>
      <c r="D5" s="3">
        <f>SUM(B18:E18)</f>
        <v>0</v>
      </c>
      <c r="E5" s="38"/>
      <c r="F5" s="38"/>
      <c r="G5" s="3">
        <f>SUM(F18:M18)</f>
        <v>0</v>
      </c>
      <c r="H5" s="38"/>
      <c r="I5" s="38"/>
      <c r="J5" s="39">
        <f>N18-N20</f>
        <v>-7397600</v>
      </c>
      <c r="K5" s="38"/>
      <c r="L5" s="38"/>
    </row>
    <row r="8" spans="1:14" ht="28.05" customHeight="1" x14ac:dyDescent="0.3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  <c r="K8" s="5" t="s">
        <v>16</v>
      </c>
      <c r="L8" s="5" t="s">
        <v>17</v>
      </c>
      <c r="M8" s="5" t="s">
        <v>18</v>
      </c>
      <c r="N8" s="5" t="s">
        <v>19</v>
      </c>
    </row>
    <row r="9" spans="1:14" ht="22.05" customHeight="1" x14ac:dyDescent="0.3">
      <c r="A9" s="6" t="s">
        <v>20</v>
      </c>
      <c r="B9" s="7">
        <f>'Team Expansion'!B20</f>
        <v>0</v>
      </c>
      <c r="C9" s="7">
        <f>'Team Expansion'!C20</f>
        <v>0</v>
      </c>
      <c r="D9" s="7">
        <f>'Team Expansion'!D20</f>
        <v>0</v>
      </c>
      <c r="E9" s="7">
        <f>'Team Expansion'!E20</f>
        <v>0</v>
      </c>
      <c r="F9" s="7">
        <f>'Team Expansion'!F20</f>
        <v>0</v>
      </c>
      <c r="G9" s="7">
        <f>'Team Expansion'!G20</f>
        <v>245000</v>
      </c>
      <c r="H9" s="7">
        <f>'Team Expansion'!H20</f>
        <v>245000</v>
      </c>
      <c r="I9" s="7">
        <f>'Team Expansion'!I20</f>
        <v>245000</v>
      </c>
      <c r="J9" s="7">
        <f>'Team Expansion'!J20</f>
        <v>245000</v>
      </c>
      <c r="K9" s="7">
        <f>'Team Expansion'!K20</f>
        <v>625000</v>
      </c>
      <c r="L9" s="7">
        <f>'Team Expansion'!L20</f>
        <v>720000</v>
      </c>
      <c r="M9" s="7">
        <f>'Team Expansion'!M20</f>
        <v>720000</v>
      </c>
      <c r="N9" s="8">
        <f>SUM(B9:M9)</f>
        <v>3045000</v>
      </c>
    </row>
    <row r="10" spans="1:14" ht="22.05" customHeight="1" x14ac:dyDescent="0.3">
      <c r="A10" s="6" t="s">
        <v>21</v>
      </c>
      <c r="B10" s="7">
        <f>'Cloud &amp; Infra'!B12</f>
        <v>38000</v>
      </c>
      <c r="C10" s="7">
        <f>'Cloud &amp; Infra'!C12</f>
        <v>38000</v>
      </c>
      <c r="D10" s="7">
        <f>'Cloud &amp; Infra'!D12</f>
        <v>47000</v>
      </c>
      <c r="E10" s="7">
        <f>'Cloud &amp; Infra'!E12</f>
        <v>54500</v>
      </c>
      <c r="F10" s="7">
        <f>'Cloud &amp; Infra'!F12</f>
        <v>74000</v>
      </c>
      <c r="G10" s="7">
        <f>'Cloud &amp; Infra'!G12</f>
        <v>89500</v>
      </c>
      <c r="H10" s="7">
        <f>'Cloud &amp; Infra'!H12</f>
        <v>105000</v>
      </c>
      <c r="I10" s="7">
        <f>'Cloud &amp; Infra'!I12</f>
        <v>105000</v>
      </c>
      <c r="J10" s="7">
        <f>'Cloud &amp; Infra'!J12</f>
        <v>116500</v>
      </c>
      <c r="K10" s="7">
        <f>'Cloud &amp; Infra'!K12</f>
        <v>122000</v>
      </c>
      <c r="L10" s="7">
        <f>'Cloud &amp; Infra'!L12</f>
        <v>126500</v>
      </c>
      <c r="M10" s="7">
        <f>'Cloud &amp; Infra'!M12</f>
        <v>132000</v>
      </c>
      <c r="N10" s="8">
        <f>SUM(B10:M10)</f>
        <v>1048000</v>
      </c>
    </row>
    <row r="11" spans="1:14" ht="22.05" customHeight="1" x14ac:dyDescent="0.3">
      <c r="A11" s="6" t="s">
        <v>22</v>
      </c>
      <c r="B11" s="7">
        <f>'Fintech APIs &amp; Rails'!B14</f>
        <v>51000</v>
      </c>
      <c r="C11" s="7">
        <f>'Fintech APIs &amp; Rails'!C14</f>
        <v>59000</v>
      </c>
      <c r="D11" s="7">
        <f>'Fintech APIs &amp; Rails'!D14</f>
        <v>69000</v>
      </c>
      <c r="E11" s="7">
        <f>'Fintech APIs &amp; Rails'!E14</f>
        <v>81000</v>
      </c>
      <c r="F11" s="7">
        <f>'Fintech APIs &amp; Rails'!F14</f>
        <v>116500</v>
      </c>
      <c r="G11" s="7">
        <f>'Fintech APIs &amp; Rails'!G14</f>
        <v>145000</v>
      </c>
      <c r="H11" s="7">
        <f>'Fintech APIs &amp; Rails'!H14</f>
        <v>176500</v>
      </c>
      <c r="I11" s="7">
        <f>'Fintech APIs &amp; Rails'!I14</f>
        <v>201000</v>
      </c>
      <c r="J11" s="7">
        <f>'Fintech APIs &amp; Rails'!J14</f>
        <v>222500</v>
      </c>
      <c r="K11" s="7">
        <f>'Fintech APIs &amp; Rails'!K14</f>
        <v>238000</v>
      </c>
      <c r="L11" s="7">
        <f>'Fintech APIs &amp; Rails'!L14</f>
        <v>248000</v>
      </c>
      <c r="M11" s="7">
        <f>'Fintech APIs &amp; Rails'!M14</f>
        <v>258500</v>
      </c>
      <c r="N11" s="8">
        <f>SUM(B11:M11)</f>
        <v>1866000</v>
      </c>
    </row>
    <row r="12" spans="1:14" ht="22.05" customHeight="1" x14ac:dyDescent="0.3">
      <c r="A12" s="6" t="s">
        <v>23</v>
      </c>
      <c r="B12" s="7">
        <f>'Security &amp; Compliance'!B12</f>
        <v>354500</v>
      </c>
      <c r="C12" s="7">
        <f>'Security &amp; Compliance'!C12</f>
        <v>14500</v>
      </c>
      <c r="D12" s="7">
        <f>'Security &amp; Compliance'!D12</f>
        <v>24500</v>
      </c>
      <c r="E12" s="7">
        <f>'Security &amp; Compliance'!E12</f>
        <v>39500</v>
      </c>
      <c r="F12" s="7">
        <f>'Security &amp; Compliance'!F12</f>
        <v>31500</v>
      </c>
      <c r="G12" s="7">
        <f>'Security &amp; Compliance'!G12</f>
        <v>46500</v>
      </c>
      <c r="H12" s="7">
        <f>'Security &amp; Compliance'!H12</f>
        <v>181500</v>
      </c>
      <c r="I12" s="7">
        <f>'Security &amp; Compliance'!I12</f>
        <v>46500</v>
      </c>
      <c r="J12" s="7">
        <f>'Security &amp; Compliance'!J12</f>
        <v>39500</v>
      </c>
      <c r="K12" s="7">
        <f>'Security &amp; Compliance'!K12</f>
        <v>54500</v>
      </c>
      <c r="L12" s="7">
        <f>'Security &amp; Compliance'!L12</f>
        <v>39500</v>
      </c>
      <c r="M12" s="7">
        <f>'Security &amp; Compliance'!M12</f>
        <v>54500</v>
      </c>
      <c r="N12" s="8">
        <f>SUM(B12:M12)</f>
        <v>927000</v>
      </c>
    </row>
    <row r="13" spans="1:14" ht="22.05" customHeight="1" x14ac:dyDescent="0.3">
      <c r="A13" s="6" t="s">
        <v>24</v>
      </c>
      <c r="B13" s="7">
        <f>'Tooling &amp; Licences'!B14</f>
        <v>44500</v>
      </c>
      <c r="C13" s="7">
        <f>'Tooling &amp; Licences'!C14</f>
        <v>18500</v>
      </c>
      <c r="D13" s="7">
        <f>'Tooling &amp; Licences'!D14</f>
        <v>18500</v>
      </c>
      <c r="E13" s="7">
        <f>'Tooling &amp; Licences'!E14</f>
        <v>18500</v>
      </c>
      <c r="F13" s="7">
        <f>'Tooling &amp; Licences'!F14</f>
        <v>30000</v>
      </c>
      <c r="G13" s="7">
        <f>'Tooling &amp; Licences'!G14</f>
        <v>30000</v>
      </c>
      <c r="H13" s="7">
        <f>'Tooling &amp; Licences'!H14</f>
        <v>30000</v>
      </c>
      <c r="I13" s="7">
        <f>'Tooling &amp; Licences'!I14</f>
        <v>30000</v>
      </c>
      <c r="J13" s="7">
        <f>'Tooling &amp; Licences'!J14</f>
        <v>30000</v>
      </c>
      <c r="K13" s="7">
        <f>'Tooling &amp; Licences'!K14</f>
        <v>30000</v>
      </c>
      <c r="L13" s="7">
        <f>'Tooling &amp; Licences'!L14</f>
        <v>30000</v>
      </c>
      <c r="M13" s="7">
        <f>'Tooling &amp; Licences'!M14</f>
        <v>30000</v>
      </c>
      <c r="N13" s="8">
        <f>SUM(B13:M13)</f>
        <v>340000</v>
      </c>
    </row>
    <row r="14" spans="1:14" ht="24" customHeight="1" x14ac:dyDescent="0.3">
      <c r="A14" s="9" t="s">
        <v>25</v>
      </c>
      <c r="B14" s="8">
        <f t="shared" ref="B14:N14" si="0">SUM(B9:B13)</f>
        <v>488000</v>
      </c>
      <c r="C14" s="8">
        <f t="shared" si="0"/>
        <v>130000</v>
      </c>
      <c r="D14" s="8">
        <f t="shared" si="0"/>
        <v>159000</v>
      </c>
      <c r="E14" s="8">
        <f t="shared" si="0"/>
        <v>193500</v>
      </c>
      <c r="F14" s="8">
        <f t="shared" si="0"/>
        <v>252000</v>
      </c>
      <c r="G14" s="8">
        <f t="shared" si="0"/>
        <v>556000</v>
      </c>
      <c r="H14" s="8">
        <f t="shared" si="0"/>
        <v>738000</v>
      </c>
      <c r="I14" s="8">
        <f t="shared" si="0"/>
        <v>627500</v>
      </c>
      <c r="J14" s="8">
        <f t="shared" si="0"/>
        <v>653500</v>
      </c>
      <c r="K14" s="8">
        <f t="shared" si="0"/>
        <v>1069500</v>
      </c>
      <c r="L14" s="8">
        <f t="shared" si="0"/>
        <v>1164000</v>
      </c>
      <c r="M14" s="8">
        <f t="shared" si="0"/>
        <v>1195000</v>
      </c>
      <c r="N14" s="8">
        <f t="shared" si="0"/>
        <v>7226000</v>
      </c>
    </row>
    <row r="15" spans="1:14" ht="22.05" customHeight="1" x14ac:dyDescent="0.3">
      <c r="A15" s="10" t="s">
        <v>26</v>
      </c>
      <c r="B15" s="11">
        <f t="shared" ref="B15:M15" si="1">B14*0.1</f>
        <v>48800</v>
      </c>
      <c r="C15" s="11">
        <f t="shared" si="1"/>
        <v>13000</v>
      </c>
      <c r="D15" s="11">
        <f t="shared" si="1"/>
        <v>15900</v>
      </c>
      <c r="E15" s="11">
        <f t="shared" si="1"/>
        <v>19350</v>
      </c>
      <c r="F15" s="11">
        <f t="shared" si="1"/>
        <v>25200</v>
      </c>
      <c r="G15" s="11">
        <f t="shared" si="1"/>
        <v>55600</v>
      </c>
      <c r="H15" s="11">
        <f t="shared" si="1"/>
        <v>73800</v>
      </c>
      <c r="I15" s="11">
        <f t="shared" si="1"/>
        <v>62750</v>
      </c>
      <c r="J15" s="11">
        <f t="shared" si="1"/>
        <v>65350</v>
      </c>
      <c r="K15" s="11">
        <f t="shared" si="1"/>
        <v>106950</v>
      </c>
      <c r="L15" s="11">
        <f t="shared" si="1"/>
        <v>116400</v>
      </c>
      <c r="M15" s="11">
        <f t="shared" si="1"/>
        <v>119500</v>
      </c>
      <c r="N15" s="8">
        <f>SUM(B15:M15)</f>
        <v>722600</v>
      </c>
    </row>
    <row r="16" spans="1:14" ht="25.95" customHeight="1" x14ac:dyDescent="0.3">
      <c r="A16" s="12" t="s">
        <v>27</v>
      </c>
      <c r="B16" s="13">
        <f t="shared" ref="B16:N16" si="2">B14+B15</f>
        <v>536800</v>
      </c>
      <c r="C16" s="13">
        <f t="shared" si="2"/>
        <v>143000</v>
      </c>
      <c r="D16" s="13">
        <f t="shared" si="2"/>
        <v>174900</v>
      </c>
      <c r="E16" s="13">
        <f t="shared" si="2"/>
        <v>212850</v>
      </c>
      <c r="F16" s="13">
        <f t="shared" si="2"/>
        <v>277200</v>
      </c>
      <c r="G16" s="13">
        <f t="shared" si="2"/>
        <v>611600</v>
      </c>
      <c r="H16" s="13">
        <f t="shared" si="2"/>
        <v>811800</v>
      </c>
      <c r="I16" s="13">
        <f t="shared" si="2"/>
        <v>690250</v>
      </c>
      <c r="J16" s="13">
        <f t="shared" si="2"/>
        <v>718850</v>
      </c>
      <c r="K16" s="13">
        <f t="shared" si="2"/>
        <v>1176450</v>
      </c>
      <c r="L16" s="13">
        <f t="shared" si="2"/>
        <v>1280400</v>
      </c>
      <c r="M16" s="13">
        <f t="shared" si="2"/>
        <v>1314500</v>
      </c>
      <c r="N16" s="14">
        <f t="shared" si="2"/>
        <v>7948600</v>
      </c>
    </row>
    <row r="17" spans="1:14" ht="22.05" customHeight="1" x14ac:dyDescent="0.3">
      <c r="A17" s="15" t="s">
        <v>28</v>
      </c>
      <c r="B17" s="16">
        <f>B16</f>
        <v>536800</v>
      </c>
      <c r="C17" s="11">
        <f t="shared" ref="C17:M17" si="3">B17+C16</f>
        <v>679800</v>
      </c>
      <c r="D17" s="11">
        <f t="shared" si="3"/>
        <v>854700</v>
      </c>
      <c r="E17" s="11">
        <f t="shared" si="3"/>
        <v>1067550</v>
      </c>
      <c r="F17" s="11">
        <f t="shared" si="3"/>
        <v>1344750</v>
      </c>
      <c r="G17" s="11">
        <f t="shared" si="3"/>
        <v>1956350</v>
      </c>
      <c r="H17" s="11">
        <f t="shared" si="3"/>
        <v>2768150</v>
      </c>
      <c r="I17" s="11">
        <f t="shared" si="3"/>
        <v>3458400</v>
      </c>
      <c r="J17" s="11">
        <f t="shared" si="3"/>
        <v>4177250</v>
      </c>
      <c r="K17" s="11">
        <f t="shared" si="3"/>
        <v>5353700</v>
      </c>
      <c r="L17" s="11">
        <f t="shared" si="3"/>
        <v>6634100</v>
      </c>
      <c r="M17" s="11">
        <f t="shared" si="3"/>
        <v>7948600</v>
      </c>
      <c r="N17" s="17">
        <f>N16</f>
        <v>7948600</v>
      </c>
    </row>
    <row r="19" spans="1:14" ht="22.05" customHeight="1" x14ac:dyDescent="0.3">
      <c r="A19" s="18" t="s">
        <v>29</v>
      </c>
      <c r="B19" s="19">
        <f>IF(2&lt;=9, 'Cloud &amp; Infra'!B12, 0)</f>
        <v>38000</v>
      </c>
      <c r="C19" s="19">
        <f>IF(3&lt;=9, 'Cloud &amp; Infra'!C12, 0)</f>
        <v>38000</v>
      </c>
      <c r="D19" s="19">
        <f>IF(4&lt;=9, 'Cloud &amp; Infra'!D12, 0)</f>
        <v>47000</v>
      </c>
      <c r="E19" s="19">
        <f>IF(5&lt;=9, 'Cloud &amp; Infra'!E12, 0)</f>
        <v>54500</v>
      </c>
      <c r="F19" s="19">
        <f>IF(6&lt;=9, 'Cloud &amp; Infra'!F12, 0)</f>
        <v>74000</v>
      </c>
      <c r="G19" s="19">
        <f>IF(7&lt;=9, 'Cloud &amp; Infra'!G12, 0)</f>
        <v>89500</v>
      </c>
      <c r="H19" s="19">
        <f>IF(8&lt;=9, 'Cloud &amp; Infra'!H12, 0)</f>
        <v>105000</v>
      </c>
      <c r="I19" s="19">
        <f>IF(9&lt;=9, 'Cloud &amp; Infra'!I12, 0)</f>
        <v>105000</v>
      </c>
      <c r="J19" s="19">
        <f>IF(10&lt;=9, 'Cloud &amp; Infra'!J12, 0)</f>
        <v>0</v>
      </c>
      <c r="K19" s="19">
        <f>IF(11&lt;=9, 'Cloud &amp; Infra'!K12, 0)</f>
        <v>0</v>
      </c>
      <c r="L19" s="19">
        <f>IF(12&lt;=9, 'Cloud &amp; Infra'!L12, 0)</f>
        <v>0</v>
      </c>
      <c r="M19" s="19">
        <f>IF(13&lt;=9, 'Cloud &amp; Infra'!M12, 0)</f>
        <v>0</v>
      </c>
      <c r="N19" s="20">
        <f>SUM(B19:M19)</f>
        <v>551000</v>
      </c>
    </row>
    <row r="20" spans="1:14" ht="24" customHeight="1" x14ac:dyDescent="0.3">
      <c r="A20" s="21" t="s">
        <v>30</v>
      </c>
      <c r="B20" s="22">
        <f t="shared" ref="B20:N20" si="4">B16-B19</f>
        <v>498800</v>
      </c>
      <c r="C20" s="22">
        <f t="shared" si="4"/>
        <v>105000</v>
      </c>
      <c r="D20" s="22">
        <f t="shared" si="4"/>
        <v>127900</v>
      </c>
      <c r="E20" s="22">
        <f t="shared" si="4"/>
        <v>158350</v>
      </c>
      <c r="F20" s="22">
        <f t="shared" si="4"/>
        <v>203200</v>
      </c>
      <c r="G20" s="22">
        <f t="shared" si="4"/>
        <v>522100</v>
      </c>
      <c r="H20" s="22">
        <f t="shared" si="4"/>
        <v>706800</v>
      </c>
      <c r="I20" s="22">
        <f t="shared" si="4"/>
        <v>585250</v>
      </c>
      <c r="J20" s="22">
        <f t="shared" si="4"/>
        <v>718850</v>
      </c>
      <c r="K20" s="22">
        <f t="shared" si="4"/>
        <v>1176450</v>
      </c>
      <c r="L20" s="22">
        <f t="shared" si="4"/>
        <v>1280400</v>
      </c>
      <c r="M20" s="22">
        <f t="shared" si="4"/>
        <v>1314500</v>
      </c>
      <c r="N20" s="14">
        <f t="shared" si="4"/>
        <v>7397600</v>
      </c>
    </row>
  </sheetData>
  <mergeCells count="7">
    <mergeCell ref="A1:N1"/>
    <mergeCell ref="J5:L5"/>
    <mergeCell ref="E4:F5"/>
    <mergeCell ref="H4:I5"/>
    <mergeCell ref="A5:C5"/>
    <mergeCell ref="J4:L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tabSelected="1" workbookViewId="0">
      <selection sqref="A1:R1"/>
    </sheetView>
  </sheetViews>
  <sheetFormatPr defaultRowHeight="14.4" x14ac:dyDescent="0.3"/>
  <cols>
    <col min="1" max="1" width="44" customWidth="1"/>
    <col min="2" max="3" width="18" customWidth="1"/>
    <col min="4" max="4" width="15" customWidth="1"/>
    <col min="5" max="5" width="20" customWidth="1"/>
    <col min="6" max="6" width="24" customWidth="1"/>
    <col min="7" max="19" width="14" customWidth="1"/>
  </cols>
  <sheetData>
    <row r="1" spans="1:19" ht="36" customHeight="1" x14ac:dyDescent="0.3">
      <c r="A1" s="37" t="s">
        <v>31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9" x14ac:dyDescent="0.3">
      <c r="A2" s="1" t="s">
        <v>32</v>
      </c>
    </row>
    <row r="4" spans="1:19" ht="28.05" customHeight="1" x14ac:dyDescent="0.3">
      <c r="A4" s="4" t="s">
        <v>33</v>
      </c>
      <c r="B4" s="4" t="s">
        <v>34</v>
      </c>
      <c r="C4" s="4" t="s">
        <v>35</v>
      </c>
      <c r="D4" s="5" t="s">
        <v>36</v>
      </c>
      <c r="E4" s="5" t="s">
        <v>37</v>
      </c>
      <c r="F4" s="5" t="s">
        <v>38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39</v>
      </c>
    </row>
    <row r="5" spans="1:19" ht="19.95" customHeight="1" x14ac:dyDescent="0.3">
      <c r="A5" s="23" t="s">
        <v>40</v>
      </c>
      <c r="B5" s="23" t="s">
        <v>41</v>
      </c>
      <c r="C5" s="23" t="s">
        <v>42</v>
      </c>
      <c r="D5" s="24" t="s">
        <v>7</v>
      </c>
      <c r="E5" s="25">
        <v>120000</v>
      </c>
      <c r="F5" s="26">
        <f t="shared" ref="F5:F14" si="0">E5*12/100000</f>
        <v>14.4</v>
      </c>
      <c r="G5" s="7">
        <f>IF(1&gt;=1, $E5, 0)</f>
        <v>120000</v>
      </c>
      <c r="H5" s="7">
        <f>IF(2&gt;=1, $E5, 0)</f>
        <v>120000</v>
      </c>
      <c r="I5" s="7">
        <f>IF(3&gt;=1, $E5, 0)</f>
        <v>120000</v>
      </c>
      <c r="J5" s="7">
        <f>IF(4&gt;=1, $E5, 0)</f>
        <v>120000</v>
      </c>
      <c r="K5" s="7">
        <f>IF(5&gt;=1, $E5, 0)</f>
        <v>120000</v>
      </c>
      <c r="L5" s="7">
        <f>IF(6&gt;=1, $E5, 0)</f>
        <v>120000</v>
      </c>
      <c r="M5" s="7">
        <f>IF(7&gt;=1, $E5, 0)</f>
        <v>120000</v>
      </c>
      <c r="N5" s="7">
        <f>IF(8&gt;=1, $E5, 0)</f>
        <v>120000</v>
      </c>
      <c r="O5" s="7">
        <f>IF(9&gt;=1, $E5, 0)</f>
        <v>120000</v>
      </c>
      <c r="P5" s="7">
        <f>IF(10&gt;=1, $E5, 0)</f>
        <v>120000</v>
      </c>
      <c r="Q5" s="7">
        <f>IF(11&gt;=1, $E5, 0)</f>
        <v>120000</v>
      </c>
      <c r="R5" s="7">
        <f>IF(12&gt;=1, $E5, 0)</f>
        <v>120000</v>
      </c>
      <c r="S5" s="8">
        <f t="shared" ref="S5:S14" si="1">SUM(G5:R5)</f>
        <v>1440000</v>
      </c>
    </row>
    <row r="6" spans="1:19" ht="19.95" customHeight="1" x14ac:dyDescent="0.3">
      <c r="A6" s="23" t="s">
        <v>43</v>
      </c>
      <c r="B6" s="23" t="s">
        <v>44</v>
      </c>
      <c r="C6" s="23" t="s">
        <v>45</v>
      </c>
      <c r="D6" s="24" t="s">
        <v>7</v>
      </c>
      <c r="E6" s="25">
        <v>60000</v>
      </c>
      <c r="F6" s="26">
        <f t="shared" si="0"/>
        <v>7.2</v>
      </c>
      <c r="G6" s="7">
        <f>IF(1&gt;=1, $E6, 0)</f>
        <v>60000</v>
      </c>
      <c r="H6" s="7">
        <f>IF(2&gt;=1, $E6, 0)</f>
        <v>60000</v>
      </c>
      <c r="I6" s="7">
        <f>IF(3&gt;=1, $E6, 0)</f>
        <v>60000</v>
      </c>
      <c r="J6" s="7">
        <f>IF(4&gt;=1, $E6, 0)</f>
        <v>60000</v>
      </c>
      <c r="K6" s="7">
        <f>IF(5&gt;=1, $E6, 0)</f>
        <v>60000</v>
      </c>
      <c r="L6" s="7">
        <f>IF(6&gt;=1, $E6, 0)</f>
        <v>60000</v>
      </c>
      <c r="M6" s="7">
        <f>IF(7&gt;=1, $E6, 0)</f>
        <v>60000</v>
      </c>
      <c r="N6" s="7">
        <f>IF(8&gt;=1, $E6, 0)</f>
        <v>60000</v>
      </c>
      <c r="O6" s="7">
        <f>IF(9&gt;=1, $E6, 0)</f>
        <v>60000</v>
      </c>
      <c r="P6" s="7">
        <f>IF(10&gt;=1, $E6, 0)</f>
        <v>60000</v>
      </c>
      <c r="Q6" s="7">
        <f>IF(11&gt;=1, $E6, 0)</f>
        <v>60000</v>
      </c>
      <c r="R6" s="7">
        <f>IF(12&gt;=1, $E6, 0)</f>
        <v>60000</v>
      </c>
      <c r="S6" s="8">
        <f t="shared" si="1"/>
        <v>720000</v>
      </c>
    </row>
    <row r="7" spans="1:19" ht="19.95" customHeight="1" x14ac:dyDescent="0.3">
      <c r="A7" s="23" t="s">
        <v>46</v>
      </c>
      <c r="B7" s="23" t="s">
        <v>47</v>
      </c>
      <c r="C7" s="23" t="s">
        <v>48</v>
      </c>
      <c r="D7" s="24" t="s">
        <v>7</v>
      </c>
      <c r="E7" s="25">
        <v>40000</v>
      </c>
      <c r="F7" s="26">
        <f t="shared" si="0"/>
        <v>4.8</v>
      </c>
      <c r="G7" s="7">
        <f>IF(1&gt;=1, $E7, 0)</f>
        <v>40000</v>
      </c>
      <c r="H7" s="7">
        <f>IF(2&gt;=1, $E7, 0)</f>
        <v>40000</v>
      </c>
      <c r="I7" s="7">
        <f>IF(3&gt;=1, $E7, 0)</f>
        <v>40000</v>
      </c>
      <c r="J7" s="7">
        <f>IF(4&gt;=1, $E7, 0)</f>
        <v>40000</v>
      </c>
      <c r="K7" s="7">
        <f>IF(5&gt;=1, $E7, 0)</f>
        <v>40000</v>
      </c>
      <c r="L7" s="7">
        <f>IF(6&gt;=1, $E7, 0)</f>
        <v>40000</v>
      </c>
      <c r="M7" s="7">
        <f>IF(7&gt;=1, $E7, 0)</f>
        <v>40000</v>
      </c>
      <c r="N7" s="7">
        <f>IF(8&gt;=1, $E7, 0)</f>
        <v>40000</v>
      </c>
      <c r="O7" s="7">
        <f>IF(9&gt;=1, $E7, 0)</f>
        <v>40000</v>
      </c>
      <c r="P7" s="7">
        <f>IF(10&gt;=1, $E7, 0)</f>
        <v>40000</v>
      </c>
      <c r="Q7" s="7">
        <f>IF(11&gt;=1, $E7, 0)</f>
        <v>40000</v>
      </c>
      <c r="R7" s="7">
        <f>IF(12&gt;=1, $E7, 0)</f>
        <v>40000</v>
      </c>
      <c r="S7" s="8">
        <f t="shared" si="1"/>
        <v>480000</v>
      </c>
    </row>
    <row r="8" spans="1:19" ht="19.95" customHeight="1" x14ac:dyDescent="0.3">
      <c r="A8" s="23" t="s">
        <v>49</v>
      </c>
      <c r="B8" s="23" t="s">
        <v>47</v>
      </c>
      <c r="C8" s="23" t="s">
        <v>50</v>
      </c>
      <c r="D8" s="24" t="s">
        <v>7</v>
      </c>
      <c r="E8" s="25">
        <v>25000</v>
      </c>
      <c r="F8" s="26">
        <f t="shared" si="0"/>
        <v>3</v>
      </c>
      <c r="G8" s="7">
        <f>IF(1&gt;=1, $E8, 0)</f>
        <v>25000</v>
      </c>
      <c r="H8" s="7">
        <f>IF(2&gt;=1, $E8, 0)</f>
        <v>25000</v>
      </c>
      <c r="I8" s="7">
        <f>IF(3&gt;=1, $E8, 0)</f>
        <v>25000</v>
      </c>
      <c r="J8" s="7">
        <f>IF(4&gt;=1, $E8, 0)</f>
        <v>25000</v>
      </c>
      <c r="K8" s="7">
        <f>IF(5&gt;=1, $E8, 0)</f>
        <v>25000</v>
      </c>
      <c r="L8" s="7">
        <f>IF(6&gt;=1, $E8, 0)</f>
        <v>25000</v>
      </c>
      <c r="M8" s="7">
        <f>IF(7&gt;=1, $E8, 0)</f>
        <v>25000</v>
      </c>
      <c r="N8" s="7">
        <f>IF(8&gt;=1, $E8, 0)</f>
        <v>25000</v>
      </c>
      <c r="O8" s="7">
        <f>IF(9&gt;=1, $E8, 0)</f>
        <v>25000</v>
      </c>
      <c r="P8" s="7">
        <f>IF(10&gt;=1, $E8, 0)</f>
        <v>25000</v>
      </c>
      <c r="Q8" s="7">
        <f>IF(11&gt;=1, $E8, 0)</f>
        <v>25000</v>
      </c>
      <c r="R8" s="7">
        <f>IF(12&gt;=1, $E8, 0)</f>
        <v>25000</v>
      </c>
      <c r="S8" s="8">
        <f t="shared" si="1"/>
        <v>300000</v>
      </c>
    </row>
    <row r="9" spans="1:19" ht="19.95" customHeight="1" x14ac:dyDescent="0.3">
      <c r="A9" s="23" t="s">
        <v>51</v>
      </c>
      <c r="B9" s="23" t="s">
        <v>52</v>
      </c>
      <c r="C9" s="23" t="s">
        <v>53</v>
      </c>
      <c r="D9" s="24" t="s">
        <v>11</v>
      </c>
      <c r="E9" s="25">
        <v>130000</v>
      </c>
      <c r="F9" s="26">
        <f t="shared" si="0"/>
        <v>15.6</v>
      </c>
      <c r="G9" s="7">
        <f>IF(1&gt;=5, $E9, 0)</f>
        <v>0</v>
      </c>
      <c r="H9" s="7">
        <f>IF(2&gt;=5, $E9, 0)</f>
        <v>0</v>
      </c>
      <c r="I9" s="7">
        <f>IF(3&gt;=5, $E9, 0)</f>
        <v>0</v>
      </c>
      <c r="J9" s="7">
        <f>IF(4&gt;=5, $E9, 0)</f>
        <v>0</v>
      </c>
      <c r="K9" s="7">
        <f>IF(5&gt;=5, $E9, 0)</f>
        <v>130000</v>
      </c>
      <c r="L9" s="7">
        <f>IF(6&gt;=5, $E9, 0)</f>
        <v>130000</v>
      </c>
      <c r="M9" s="7">
        <f>IF(7&gt;=5, $E9, 0)</f>
        <v>130000</v>
      </c>
      <c r="N9" s="7">
        <f>IF(8&gt;=5, $E9, 0)</f>
        <v>130000</v>
      </c>
      <c r="O9" s="7">
        <f>IF(9&gt;=5, $E9, 0)</f>
        <v>130000</v>
      </c>
      <c r="P9" s="7">
        <f>IF(10&gt;=5, $E9, 0)</f>
        <v>130000</v>
      </c>
      <c r="Q9" s="7">
        <f>IF(11&gt;=5, $E9, 0)</f>
        <v>130000</v>
      </c>
      <c r="R9" s="7">
        <f>IF(12&gt;=5, $E9, 0)</f>
        <v>130000</v>
      </c>
      <c r="S9" s="8">
        <f t="shared" si="1"/>
        <v>1040000</v>
      </c>
    </row>
    <row r="10" spans="1:19" ht="19.95" customHeight="1" x14ac:dyDescent="0.3">
      <c r="A10" s="23" t="s">
        <v>54</v>
      </c>
      <c r="B10" s="23" t="s">
        <v>52</v>
      </c>
      <c r="C10" s="23" t="s">
        <v>45</v>
      </c>
      <c r="D10" s="24" t="s">
        <v>11</v>
      </c>
      <c r="E10" s="25">
        <v>130000</v>
      </c>
      <c r="F10" s="26">
        <f t="shared" si="0"/>
        <v>15.6</v>
      </c>
      <c r="G10" s="7">
        <f>IF(1&gt;=5, $E10, 0)</f>
        <v>0</v>
      </c>
      <c r="H10" s="7">
        <f>IF(2&gt;=5, $E10, 0)</f>
        <v>0</v>
      </c>
      <c r="I10" s="7">
        <f>IF(3&gt;=5, $E10, 0)</f>
        <v>0</v>
      </c>
      <c r="J10" s="7">
        <f>IF(4&gt;=5, $E10, 0)</f>
        <v>0</v>
      </c>
      <c r="K10" s="7">
        <f>IF(5&gt;=5, $E10, 0)</f>
        <v>130000</v>
      </c>
      <c r="L10" s="7">
        <f>IF(6&gt;=5, $E10, 0)</f>
        <v>130000</v>
      </c>
      <c r="M10" s="7">
        <f>IF(7&gt;=5, $E10, 0)</f>
        <v>130000</v>
      </c>
      <c r="N10" s="7">
        <f>IF(8&gt;=5, $E10, 0)</f>
        <v>130000</v>
      </c>
      <c r="O10" s="7">
        <f>IF(9&gt;=5, $E10, 0)</f>
        <v>130000</v>
      </c>
      <c r="P10" s="7">
        <f>IF(10&gt;=5, $E10, 0)</f>
        <v>130000</v>
      </c>
      <c r="Q10" s="7">
        <f>IF(11&gt;=5, $E10, 0)</f>
        <v>130000</v>
      </c>
      <c r="R10" s="7">
        <f>IF(12&gt;=5, $E10, 0)</f>
        <v>130000</v>
      </c>
      <c r="S10" s="8">
        <f t="shared" si="1"/>
        <v>1040000</v>
      </c>
    </row>
    <row r="11" spans="1:19" ht="19.95" customHeight="1" x14ac:dyDescent="0.3">
      <c r="A11" s="23" t="s">
        <v>55</v>
      </c>
      <c r="B11" s="23" t="s">
        <v>52</v>
      </c>
      <c r="C11" s="23" t="s">
        <v>56</v>
      </c>
      <c r="D11" s="24" t="s">
        <v>11</v>
      </c>
      <c r="E11" s="25">
        <v>70000</v>
      </c>
      <c r="F11" s="26">
        <f t="shared" si="0"/>
        <v>8.4</v>
      </c>
      <c r="G11" s="7">
        <f>IF(1&gt;=5, $E11, 0)</f>
        <v>0</v>
      </c>
      <c r="H11" s="7">
        <f>IF(2&gt;=5, $E11, 0)</f>
        <v>0</v>
      </c>
      <c r="I11" s="7">
        <f>IF(3&gt;=5, $E11, 0)</f>
        <v>0</v>
      </c>
      <c r="J11" s="7">
        <f>IF(4&gt;=5, $E11, 0)</f>
        <v>0</v>
      </c>
      <c r="K11" s="7">
        <f>IF(5&gt;=5, $E11, 0)</f>
        <v>70000</v>
      </c>
      <c r="L11" s="7">
        <f>IF(6&gt;=5, $E11, 0)</f>
        <v>70000</v>
      </c>
      <c r="M11" s="7">
        <f>IF(7&gt;=5, $E11, 0)</f>
        <v>70000</v>
      </c>
      <c r="N11" s="7">
        <f>IF(8&gt;=5, $E11, 0)</f>
        <v>70000</v>
      </c>
      <c r="O11" s="7">
        <f>IF(9&gt;=5, $E11, 0)</f>
        <v>70000</v>
      </c>
      <c r="P11" s="7">
        <f>IF(10&gt;=5, $E11, 0)</f>
        <v>70000</v>
      </c>
      <c r="Q11" s="7">
        <f>IF(11&gt;=5, $E11, 0)</f>
        <v>70000</v>
      </c>
      <c r="R11" s="7">
        <f>IF(12&gt;=5, $E11, 0)</f>
        <v>70000</v>
      </c>
      <c r="S11" s="8">
        <f t="shared" si="1"/>
        <v>560000</v>
      </c>
    </row>
    <row r="12" spans="1:19" ht="19.95" customHeight="1" x14ac:dyDescent="0.3">
      <c r="A12" s="23" t="s">
        <v>57</v>
      </c>
      <c r="B12" s="23" t="s">
        <v>58</v>
      </c>
      <c r="C12" s="23" t="s">
        <v>59</v>
      </c>
      <c r="D12" s="24" t="s">
        <v>11</v>
      </c>
      <c r="E12" s="25">
        <v>50000</v>
      </c>
      <c r="F12" s="26">
        <f t="shared" si="0"/>
        <v>6</v>
      </c>
      <c r="G12" s="7">
        <f>IF(1&gt;=5, $E12, 0)</f>
        <v>0</v>
      </c>
      <c r="H12" s="7">
        <f>IF(2&gt;=5, $E12, 0)</f>
        <v>0</v>
      </c>
      <c r="I12" s="7">
        <f>IF(3&gt;=5, $E12, 0)</f>
        <v>0</v>
      </c>
      <c r="J12" s="7">
        <f>IF(4&gt;=5, $E12, 0)</f>
        <v>0</v>
      </c>
      <c r="K12" s="7">
        <f>IF(5&gt;=5, $E12, 0)</f>
        <v>50000</v>
      </c>
      <c r="L12" s="7">
        <f>IF(6&gt;=5, $E12, 0)</f>
        <v>50000</v>
      </c>
      <c r="M12" s="7">
        <f>IF(7&gt;=5, $E12, 0)</f>
        <v>50000</v>
      </c>
      <c r="N12" s="7">
        <f>IF(8&gt;=5, $E12, 0)</f>
        <v>50000</v>
      </c>
      <c r="O12" s="7">
        <f>IF(9&gt;=5, $E12, 0)</f>
        <v>50000</v>
      </c>
      <c r="P12" s="7">
        <f>IF(10&gt;=5, $E12, 0)</f>
        <v>50000</v>
      </c>
      <c r="Q12" s="7">
        <f>IF(11&gt;=5, $E12, 0)</f>
        <v>50000</v>
      </c>
      <c r="R12" s="7">
        <f>IF(12&gt;=5, $E12, 0)</f>
        <v>50000</v>
      </c>
      <c r="S12" s="8">
        <f t="shared" si="1"/>
        <v>400000</v>
      </c>
    </row>
    <row r="13" spans="1:19" ht="19.95" customHeight="1" x14ac:dyDescent="0.3">
      <c r="A13" s="23" t="s">
        <v>60</v>
      </c>
      <c r="B13" s="23" t="s">
        <v>52</v>
      </c>
      <c r="C13" s="23" t="s">
        <v>56</v>
      </c>
      <c r="D13" s="24" t="s">
        <v>12</v>
      </c>
      <c r="E13" s="25">
        <v>60000</v>
      </c>
      <c r="F13" s="26">
        <f t="shared" si="0"/>
        <v>7.2</v>
      </c>
      <c r="G13" s="7">
        <f>IF(1&gt;=6, $E13, 0)</f>
        <v>0</v>
      </c>
      <c r="H13" s="7">
        <f>IF(2&gt;=6, $E13, 0)</f>
        <v>0</v>
      </c>
      <c r="I13" s="7">
        <f>IF(3&gt;=6, $E13, 0)</f>
        <v>0</v>
      </c>
      <c r="J13" s="7">
        <f>IF(4&gt;=6, $E13, 0)</f>
        <v>0</v>
      </c>
      <c r="K13" s="7">
        <f>IF(5&gt;=6, $E13, 0)</f>
        <v>0</v>
      </c>
      <c r="L13" s="7">
        <f>IF(6&gt;=6, $E13, 0)</f>
        <v>60000</v>
      </c>
      <c r="M13" s="7">
        <f>IF(7&gt;=6, $E13, 0)</f>
        <v>60000</v>
      </c>
      <c r="N13" s="7">
        <f>IF(8&gt;=6, $E13, 0)</f>
        <v>60000</v>
      </c>
      <c r="O13" s="7">
        <f>IF(9&gt;=6, $E13, 0)</f>
        <v>60000</v>
      </c>
      <c r="P13" s="7">
        <f>IF(10&gt;=6, $E13, 0)</f>
        <v>60000</v>
      </c>
      <c r="Q13" s="7">
        <f>IF(11&gt;=6, $E13, 0)</f>
        <v>60000</v>
      </c>
      <c r="R13" s="7">
        <f>IF(12&gt;=6, $E13, 0)</f>
        <v>60000</v>
      </c>
      <c r="S13" s="8">
        <f t="shared" si="1"/>
        <v>420000</v>
      </c>
    </row>
    <row r="14" spans="1:19" ht="19.95" customHeight="1" x14ac:dyDescent="0.3">
      <c r="A14" s="23" t="s">
        <v>61</v>
      </c>
      <c r="B14" s="23" t="s">
        <v>52</v>
      </c>
      <c r="C14" s="23" t="s">
        <v>62</v>
      </c>
      <c r="D14" s="24" t="s">
        <v>12</v>
      </c>
      <c r="E14" s="25">
        <v>35000</v>
      </c>
      <c r="F14" s="26">
        <f t="shared" si="0"/>
        <v>4.2</v>
      </c>
      <c r="G14" s="7">
        <f>IF(1&gt;=6, $E14, 0)</f>
        <v>0</v>
      </c>
      <c r="H14" s="7">
        <f>IF(2&gt;=6, $E14, 0)</f>
        <v>0</v>
      </c>
      <c r="I14" s="7">
        <f>IF(3&gt;=6, $E14, 0)</f>
        <v>0</v>
      </c>
      <c r="J14" s="7">
        <f>IF(4&gt;=6, $E14, 0)</f>
        <v>0</v>
      </c>
      <c r="K14" s="7">
        <f>IF(5&gt;=6, $E14, 0)</f>
        <v>0</v>
      </c>
      <c r="L14" s="7">
        <f>IF(6&gt;=6, $E14, 0)</f>
        <v>35000</v>
      </c>
      <c r="M14" s="7">
        <f>IF(7&gt;=6, $E14, 0)</f>
        <v>35000</v>
      </c>
      <c r="N14" s="7">
        <f>IF(8&gt;=6, $E14, 0)</f>
        <v>35000</v>
      </c>
      <c r="O14" s="7">
        <f>IF(9&gt;=6, $E14, 0)</f>
        <v>35000</v>
      </c>
      <c r="P14" s="7">
        <f>IF(10&gt;=6, $E14, 0)</f>
        <v>35000</v>
      </c>
      <c r="Q14" s="7">
        <f>IF(11&gt;=6, $E14, 0)</f>
        <v>35000</v>
      </c>
      <c r="R14" s="7">
        <f>IF(12&gt;=6, $E14, 0)</f>
        <v>35000</v>
      </c>
      <c r="S14" s="8">
        <f t="shared" si="1"/>
        <v>245000</v>
      </c>
    </row>
    <row r="16" spans="1:19" ht="22.05" customHeight="1" x14ac:dyDescent="0.3">
      <c r="A16" s="10" t="s">
        <v>63</v>
      </c>
      <c r="B16" s="27"/>
      <c r="C16" s="27"/>
      <c r="D16" s="27"/>
      <c r="E16" s="27"/>
      <c r="F16" s="27"/>
      <c r="G16" s="28">
        <f t="shared" ref="G16:R16" si="2">COUNTIF(G5:G14, "&gt;0")</f>
        <v>4</v>
      </c>
      <c r="H16" s="28">
        <f t="shared" si="2"/>
        <v>4</v>
      </c>
      <c r="I16" s="28">
        <f t="shared" si="2"/>
        <v>4</v>
      </c>
      <c r="J16" s="28">
        <f t="shared" si="2"/>
        <v>4</v>
      </c>
      <c r="K16" s="28">
        <f t="shared" si="2"/>
        <v>8</v>
      </c>
      <c r="L16" s="28">
        <f t="shared" si="2"/>
        <v>10</v>
      </c>
      <c r="M16" s="28">
        <f t="shared" si="2"/>
        <v>10</v>
      </c>
      <c r="N16" s="28">
        <f t="shared" si="2"/>
        <v>10</v>
      </c>
      <c r="O16" s="28">
        <f t="shared" si="2"/>
        <v>10</v>
      </c>
      <c r="P16" s="28">
        <f t="shared" si="2"/>
        <v>10</v>
      </c>
      <c r="Q16" s="28">
        <f t="shared" si="2"/>
        <v>10</v>
      </c>
      <c r="R16" s="28">
        <f t="shared" si="2"/>
        <v>10</v>
      </c>
      <c r="S16" s="28">
        <f>MAX(G16:R16)</f>
        <v>10</v>
      </c>
    </row>
    <row r="20" spans="1:19" ht="25.95" customHeight="1" x14ac:dyDescent="0.3">
      <c r="A20" s="21" t="s">
        <v>64</v>
      </c>
      <c r="B20" s="29"/>
      <c r="C20" s="29"/>
      <c r="D20" s="29"/>
      <c r="E20" s="29"/>
      <c r="F20" s="29"/>
      <c r="G20" s="22">
        <f t="shared" ref="G20:S20" si="3">SUM(G5:G14)</f>
        <v>245000</v>
      </c>
      <c r="H20" s="22">
        <f t="shared" si="3"/>
        <v>245000</v>
      </c>
      <c r="I20" s="22">
        <f t="shared" si="3"/>
        <v>245000</v>
      </c>
      <c r="J20" s="22">
        <f t="shared" si="3"/>
        <v>245000</v>
      </c>
      <c r="K20" s="22">
        <f t="shared" si="3"/>
        <v>625000</v>
      </c>
      <c r="L20" s="22">
        <f t="shared" si="3"/>
        <v>720000</v>
      </c>
      <c r="M20" s="22">
        <f t="shared" si="3"/>
        <v>720000</v>
      </c>
      <c r="N20" s="22">
        <f t="shared" si="3"/>
        <v>720000</v>
      </c>
      <c r="O20" s="22">
        <f t="shared" si="3"/>
        <v>720000</v>
      </c>
      <c r="P20" s="22">
        <f t="shared" si="3"/>
        <v>720000</v>
      </c>
      <c r="Q20" s="22">
        <f t="shared" si="3"/>
        <v>720000</v>
      </c>
      <c r="R20" s="22">
        <f t="shared" si="3"/>
        <v>720000</v>
      </c>
      <c r="S20" s="14">
        <f t="shared" si="3"/>
        <v>6645000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workbookViewId="0">
      <selection sqref="A1:N1"/>
    </sheetView>
  </sheetViews>
  <sheetFormatPr defaultRowHeight="14.4" x14ac:dyDescent="0.3"/>
  <cols>
    <col min="1" max="1" width="50" customWidth="1"/>
    <col min="2" max="14" width="14" customWidth="1"/>
  </cols>
  <sheetData>
    <row r="1" spans="1:14" ht="36" customHeight="1" x14ac:dyDescent="0.3">
      <c r="A1" s="37" t="s">
        <v>65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x14ac:dyDescent="0.3">
      <c r="A2" s="1" t="s">
        <v>66</v>
      </c>
    </row>
    <row r="4" spans="1:14" ht="28.05" customHeight="1" x14ac:dyDescent="0.3">
      <c r="A4" s="4" t="s">
        <v>67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39</v>
      </c>
    </row>
    <row r="5" spans="1:14" ht="19.95" customHeight="1" x14ac:dyDescent="0.3">
      <c r="A5" s="23" t="s">
        <v>68</v>
      </c>
      <c r="B5" s="25">
        <v>3500</v>
      </c>
      <c r="C5" s="25">
        <v>3500</v>
      </c>
      <c r="D5" s="25">
        <v>4500</v>
      </c>
      <c r="E5" s="25">
        <v>5000</v>
      </c>
      <c r="F5" s="25">
        <v>8500</v>
      </c>
      <c r="G5" s="25">
        <v>10000</v>
      </c>
      <c r="H5" s="25">
        <v>12500</v>
      </c>
      <c r="I5" s="25">
        <v>12500</v>
      </c>
      <c r="J5" s="25">
        <v>14000</v>
      </c>
      <c r="K5" s="25">
        <v>15000</v>
      </c>
      <c r="L5" s="25">
        <v>15000</v>
      </c>
      <c r="M5" s="25">
        <v>15000</v>
      </c>
      <c r="N5" s="8">
        <f t="shared" ref="N5:N11" si="0">SUM(B5:M5)</f>
        <v>119000</v>
      </c>
    </row>
    <row r="6" spans="1:14" ht="19.95" customHeight="1" x14ac:dyDescent="0.3">
      <c r="A6" s="23" t="s">
        <v>69</v>
      </c>
      <c r="B6" s="25">
        <v>12000</v>
      </c>
      <c r="C6" s="25">
        <v>12000</v>
      </c>
      <c r="D6" s="25">
        <v>15000</v>
      </c>
      <c r="E6" s="25">
        <v>18000</v>
      </c>
      <c r="F6" s="25">
        <v>25000</v>
      </c>
      <c r="G6" s="25">
        <v>30000</v>
      </c>
      <c r="H6" s="25">
        <v>35000</v>
      </c>
      <c r="I6" s="25">
        <v>35000</v>
      </c>
      <c r="J6" s="25">
        <v>38000</v>
      </c>
      <c r="K6" s="25">
        <v>40000</v>
      </c>
      <c r="L6" s="25">
        <v>42000</v>
      </c>
      <c r="M6" s="25">
        <v>45000</v>
      </c>
      <c r="N6" s="8">
        <f t="shared" si="0"/>
        <v>347000</v>
      </c>
    </row>
    <row r="7" spans="1:14" ht="19.95" customHeight="1" x14ac:dyDescent="0.3">
      <c r="A7" s="23" t="s">
        <v>70</v>
      </c>
      <c r="B7" s="25">
        <v>10000</v>
      </c>
      <c r="C7" s="25">
        <v>10000</v>
      </c>
      <c r="D7" s="25">
        <v>12000</v>
      </c>
      <c r="E7" s="25">
        <v>14000</v>
      </c>
      <c r="F7" s="25">
        <v>18000</v>
      </c>
      <c r="G7" s="25">
        <v>22000</v>
      </c>
      <c r="H7" s="25">
        <v>25000</v>
      </c>
      <c r="I7" s="25">
        <v>25000</v>
      </c>
      <c r="J7" s="25">
        <v>28000</v>
      </c>
      <c r="K7" s="25">
        <v>30000</v>
      </c>
      <c r="L7" s="25">
        <v>30000</v>
      </c>
      <c r="M7" s="25">
        <v>32000</v>
      </c>
      <c r="N7" s="8">
        <f t="shared" si="0"/>
        <v>256000</v>
      </c>
    </row>
    <row r="8" spans="1:14" ht="19.95" customHeight="1" x14ac:dyDescent="0.3">
      <c r="A8" s="23" t="s">
        <v>71</v>
      </c>
      <c r="B8" s="25">
        <v>2500</v>
      </c>
      <c r="C8" s="25">
        <v>2500</v>
      </c>
      <c r="D8" s="25">
        <v>3000</v>
      </c>
      <c r="E8" s="25">
        <v>3500</v>
      </c>
      <c r="F8" s="25">
        <v>4500</v>
      </c>
      <c r="G8" s="25">
        <v>5500</v>
      </c>
      <c r="H8" s="25">
        <v>6500</v>
      </c>
      <c r="I8" s="25">
        <v>6500</v>
      </c>
      <c r="J8" s="25">
        <v>7500</v>
      </c>
      <c r="K8" s="25">
        <v>8000</v>
      </c>
      <c r="L8" s="25">
        <v>8500</v>
      </c>
      <c r="M8" s="25">
        <v>9000</v>
      </c>
      <c r="N8" s="8">
        <f t="shared" si="0"/>
        <v>67500</v>
      </c>
    </row>
    <row r="9" spans="1:14" ht="19.95" customHeight="1" x14ac:dyDescent="0.3">
      <c r="A9" s="23" t="s">
        <v>72</v>
      </c>
      <c r="B9" s="25">
        <v>6500</v>
      </c>
      <c r="C9" s="25">
        <v>6500</v>
      </c>
      <c r="D9" s="25">
        <v>8000</v>
      </c>
      <c r="E9" s="25">
        <v>9500</v>
      </c>
      <c r="F9" s="25">
        <v>12000</v>
      </c>
      <c r="G9" s="25">
        <v>15000</v>
      </c>
      <c r="H9" s="25">
        <v>18000</v>
      </c>
      <c r="I9" s="25">
        <v>18000</v>
      </c>
      <c r="J9" s="25">
        <v>20000</v>
      </c>
      <c r="K9" s="25">
        <v>20000</v>
      </c>
      <c r="L9" s="25">
        <v>22000</v>
      </c>
      <c r="M9" s="25">
        <v>22000</v>
      </c>
      <c r="N9" s="8">
        <f t="shared" si="0"/>
        <v>177500</v>
      </c>
    </row>
    <row r="10" spans="1:14" ht="19.95" customHeight="1" x14ac:dyDescent="0.3">
      <c r="A10" s="23" t="s">
        <v>73</v>
      </c>
      <c r="B10" s="25">
        <v>2000</v>
      </c>
      <c r="C10" s="25">
        <v>2000</v>
      </c>
      <c r="D10" s="25">
        <v>2500</v>
      </c>
      <c r="E10" s="25">
        <v>2500</v>
      </c>
      <c r="F10" s="25">
        <v>3500</v>
      </c>
      <c r="G10" s="25">
        <v>4000</v>
      </c>
      <c r="H10" s="25">
        <v>4500</v>
      </c>
      <c r="I10" s="25">
        <v>4500</v>
      </c>
      <c r="J10" s="25">
        <v>5000</v>
      </c>
      <c r="K10" s="25">
        <v>5000</v>
      </c>
      <c r="L10" s="25">
        <v>5000</v>
      </c>
      <c r="M10" s="25">
        <v>5000</v>
      </c>
      <c r="N10" s="8">
        <f t="shared" si="0"/>
        <v>45500</v>
      </c>
    </row>
    <row r="11" spans="1:14" ht="19.95" customHeight="1" x14ac:dyDescent="0.3">
      <c r="A11" s="23" t="s">
        <v>74</v>
      </c>
      <c r="B11" s="25">
        <v>1500</v>
      </c>
      <c r="C11" s="25">
        <v>1500</v>
      </c>
      <c r="D11" s="25">
        <v>2000</v>
      </c>
      <c r="E11" s="25">
        <v>2000</v>
      </c>
      <c r="F11" s="25">
        <v>2500</v>
      </c>
      <c r="G11" s="25">
        <v>3000</v>
      </c>
      <c r="H11" s="25">
        <v>3500</v>
      </c>
      <c r="I11" s="25">
        <v>3500</v>
      </c>
      <c r="J11" s="25">
        <v>4000</v>
      </c>
      <c r="K11" s="25">
        <v>4000</v>
      </c>
      <c r="L11" s="25">
        <v>4000</v>
      </c>
      <c r="M11" s="25">
        <v>4000</v>
      </c>
      <c r="N11" s="8">
        <f t="shared" si="0"/>
        <v>35500</v>
      </c>
    </row>
    <row r="12" spans="1:14" ht="25.95" customHeight="1" x14ac:dyDescent="0.3">
      <c r="A12" s="21" t="s">
        <v>75</v>
      </c>
      <c r="B12" s="22">
        <f t="shared" ref="B12:N12" si="1">SUM(B5:B11)</f>
        <v>38000</v>
      </c>
      <c r="C12" s="22">
        <f t="shared" si="1"/>
        <v>38000</v>
      </c>
      <c r="D12" s="22">
        <f t="shared" si="1"/>
        <v>47000</v>
      </c>
      <c r="E12" s="22">
        <f t="shared" si="1"/>
        <v>54500</v>
      </c>
      <c r="F12" s="22">
        <f t="shared" si="1"/>
        <v>74000</v>
      </c>
      <c r="G12" s="22">
        <f t="shared" si="1"/>
        <v>89500</v>
      </c>
      <c r="H12" s="22">
        <f t="shared" si="1"/>
        <v>105000</v>
      </c>
      <c r="I12" s="22">
        <f t="shared" si="1"/>
        <v>105000</v>
      </c>
      <c r="J12" s="22">
        <f t="shared" si="1"/>
        <v>116500</v>
      </c>
      <c r="K12" s="22">
        <f t="shared" si="1"/>
        <v>122000</v>
      </c>
      <c r="L12" s="22">
        <f t="shared" si="1"/>
        <v>126500</v>
      </c>
      <c r="M12" s="22">
        <f t="shared" si="1"/>
        <v>132000</v>
      </c>
      <c r="N12" s="14">
        <f t="shared" si="1"/>
        <v>1048000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>
      <selection sqref="A1:N1"/>
    </sheetView>
  </sheetViews>
  <sheetFormatPr defaultRowHeight="14.4" x14ac:dyDescent="0.3"/>
  <cols>
    <col min="1" max="1" width="52" customWidth="1"/>
    <col min="2" max="14" width="14" customWidth="1"/>
  </cols>
  <sheetData>
    <row r="1" spans="1:14" ht="36" customHeight="1" x14ac:dyDescent="0.3">
      <c r="A1" s="37" t="s">
        <v>76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x14ac:dyDescent="0.3">
      <c r="A2" s="1" t="s">
        <v>77</v>
      </c>
    </row>
    <row r="4" spans="1:14" ht="28.05" customHeight="1" x14ac:dyDescent="0.3">
      <c r="A4" s="4" t="s">
        <v>78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39</v>
      </c>
    </row>
    <row r="5" spans="1:14" ht="19.95" customHeight="1" x14ac:dyDescent="0.3">
      <c r="A5" s="23" t="s">
        <v>79</v>
      </c>
      <c r="B5" s="25">
        <v>8000</v>
      </c>
      <c r="C5" s="25">
        <v>10000</v>
      </c>
      <c r="D5" s="25">
        <v>12000</v>
      </c>
      <c r="E5" s="25">
        <v>15000</v>
      </c>
      <c r="F5" s="25">
        <v>22000</v>
      </c>
      <c r="G5" s="25">
        <v>28000</v>
      </c>
      <c r="H5" s="25">
        <v>35000</v>
      </c>
      <c r="I5" s="25">
        <v>40000</v>
      </c>
      <c r="J5" s="25">
        <v>45000</v>
      </c>
      <c r="K5" s="25">
        <v>48000</v>
      </c>
      <c r="L5" s="25">
        <v>50000</v>
      </c>
      <c r="M5" s="25">
        <v>52000</v>
      </c>
      <c r="N5" s="8">
        <f t="shared" ref="N5:N12" si="0">SUM(B5:M5)</f>
        <v>365000</v>
      </c>
    </row>
    <row r="6" spans="1:14" ht="19.95" customHeight="1" x14ac:dyDescent="0.3">
      <c r="A6" s="23" t="s">
        <v>80</v>
      </c>
      <c r="B6" s="25">
        <v>4000</v>
      </c>
      <c r="C6" s="25">
        <v>5000</v>
      </c>
      <c r="D6" s="25">
        <v>6000</v>
      </c>
      <c r="E6" s="25">
        <v>7500</v>
      </c>
      <c r="F6" s="25">
        <v>10000</v>
      </c>
      <c r="G6" s="25">
        <v>13000</v>
      </c>
      <c r="H6" s="25">
        <v>16000</v>
      </c>
      <c r="I6" s="25">
        <v>18000</v>
      </c>
      <c r="J6" s="25">
        <v>20000</v>
      </c>
      <c r="K6" s="25">
        <v>22000</v>
      </c>
      <c r="L6" s="25">
        <v>23000</v>
      </c>
      <c r="M6" s="25">
        <v>24000</v>
      </c>
      <c r="N6" s="8">
        <f t="shared" si="0"/>
        <v>168500</v>
      </c>
    </row>
    <row r="7" spans="1:14" ht="19.95" customHeight="1" x14ac:dyDescent="0.3">
      <c r="A7" s="23" t="s">
        <v>81</v>
      </c>
      <c r="B7" s="25">
        <v>12000</v>
      </c>
      <c r="C7" s="25">
        <v>15000</v>
      </c>
      <c r="D7" s="25">
        <v>18000</v>
      </c>
      <c r="E7" s="25">
        <v>22000</v>
      </c>
      <c r="F7" s="25">
        <v>32000</v>
      </c>
      <c r="G7" s="25">
        <v>42000</v>
      </c>
      <c r="H7" s="25">
        <v>52000</v>
      </c>
      <c r="I7" s="25">
        <v>58000</v>
      </c>
      <c r="J7" s="25">
        <v>65000</v>
      </c>
      <c r="K7" s="25">
        <v>70000</v>
      </c>
      <c r="L7" s="25">
        <v>72000</v>
      </c>
      <c r="M7" s="25">
        <v>75000</v>
      </c>
      <c r="N7" s="8">
        <f t="shared" si="0"/>
        <v>533000</v>
      </c>
    </row>
    <row r="8" spans="1:14" ht="19.95" customHeight="1" x14ac:dyDescent="0.3">
      <c r="A8" s="23" t="s">
        <v>82</v>
      </c>
      <c r="B8" s="25">
        <v>6000</v>
      </c>
      <c r="C8" s="25">
        <v>7000</v>
      </c>
      <c r="D8" s="25">
        <v>8500</v>
      </c>
      <c r="E8" s="25">
        <v>10000</v>
      </c>
      <c r="F8" s="25">
        <v>15000</v>
      </c>
      <c r="G8" s="25">
        <v>19000</v>
      </c>
      <c r="H8" s="25">
        <v>24000</v>
      </c>
      <c r="I8" s="25">
        <v>27000</v>
      </c>
      <c r="J8" s="25">
        <v>30000</v>
      </c>
      <c r="K8" s="25">
        <v>32000</v>
      </c>
      <c r="L8" s="25">
        <v>34000</v>
      </c>
      <c r="M8" s="25">
        <v>36000</v>
      </c>
      <c r="N8" s="8">
        <f t="shared" si="0"/>
        <v>248500</v>
      </c>
    </row>
    <row r="9" spans="1:14" ht="19.95" customHeight="1" x14ac:dyDescent="0.3">
      <c r="A9" s="23" t="s">
        <v>83</v>
      </c>
      <c r="B9" s="25">
        <v>11000</v>
      </c>
      <c r="C9" s="25">
        <v>11000</v>
      </c>
      <c r="D9" s="25">
        <v>11000</v>
      </c>
      <c r="E9" s="25">
        <v>11000</v>
      </c>
      <c r="F9" s="25">
        <v>15000</v>
      </c>
      <c r="G9" s="25">
        <v>15000</v>
      </c>
      <c r="H9" s="25">
        <v>15000</v>
      </c>
      <c r="I9" s="25">
        <v>18000</v>
      </c>
      <c r="J9" s="25">
        <v>18000</v>
      </c>
      <c r="K9" s="25">
        <v>18000</v>
      </c>
      <c r="L9" s="25">
        <v>18000</v>
      </c>
      <c r="M9" s="25">
        <v>18000</v>
      </c>
      <c r="N9" s="8">
        <f t="shared" si="0"/>
        <v>179000</v>
      </c>
    </row>
    <row r="10" spans="1:14" ht="19.95" customHeight="1" x14ac:dyDescent="0.3">
      <c r="A10" s="23" t="s">
        <v>84</v>
      </c>
      <c r="B10" s="25">
        <v>2000</v>
      </c>
      <c r="C10" s="25">
        <v>2000</v>
      </c>
      <c r="D10" s="25">
        <v>2500</v>
      </c>
      <c r="E10" s="25">
        <v>2500</v>
      </c>
      <c r="F10" s="25">
        <v>3500</v>
      </c>
      <c r="G10" s="25">
        <v>4000</v>
      </c>
      <c r="H10" s="25">
        <v>4500</v>
      </c>
      <c r="I10" s="25">
        <v>5000</v>
      </c>
      <c r="J10" s="25">
        <v>5500</v>
      </c>
      <c r="K10" s="25">
        <v>6000</v>
      </c>
      <c r="L10" s="25">
        <v>6000</v>
      </c>
      <c r="M10" s="25">
        <v>6500</v>
      </c>
      <c r="N10" s="8">
        <f t="shared" si="0"/>
        <v>50000</v>
      </c>
    </row>
    <row r="11" spans="1:14" ht="19.95" customHeight="1" x14ac:dyDescent="0.3">
      <c r="A11" s="23" t="s">
        <v>85</v>
      </c>
      <c r="B11" s="25">
        <v>5000</v>
      </c>
      <c r="C11" s="25">
        <v>5000</v>
      </c>
      <c r="D11" s="25">
        <v>6000</v>
      </c>
      <c r="E11" s="25">
        <v>7000</v>
      </c>
      <c r="F11" s="25">
        <v>10000</v>
      </c>
      <c r="G11" s="25">
        <v>12000</v>
      </c>
      <c r="H11" s="25">
        <v>15000</v>
      </c>
      <c r="I11" s="25">
        <v>18000</v>
      </c>
      <c r="J11" s="25">
        <v>20000</v>
      </c>
      <c r="K11" s="25">
        <v>22000</v>
      </c>
      <c r="L11" s="25">
        <v>24000</v>
      </c>
      <c r="M11" s="25">
        <v>25000</v>
      </c>
      <c r="N11" s="8">
        <f t="shared" si="0"/>
        <v>169000</v>
      </c>
    </row>
    <row r="12" spans="1:14" ht="19.95" customHeight="1" x14ac:dyDescent="0.3">
      <c r="A12" s="23" t="s">
        <v>86</v>
      </c>
      <c r="B12" s="25">
        <v>3000</v>
      </c>
      <c r="C12" s="25">
        <v>4000</v>
      </c>
      <c r="D12" s="25">
        <v>5000</v>
      </c>
      <c r="E12" s="25">
        <v>6000</v>
      </c>
      <c r="F12" s="25">
        <v>9000</v>
      </c>
      <c r="G12" s="25">
        <v>12000</v>
      </c>
      <c r="H12" s="25">
        <v>15000</v>
      </c>
      <c r="I12" s="25">
        <v>17000</v>
      </c>
      <c r="J12" s="25">
        <v>19000</v>
      </c>
      <c r="K12" s="25">
        <v>20000</v>
      </c>
      <c r="L12" s="25">
        <v>21000</v>
      </c>
      <c r="M12" s="25">
        <v>22000</v>
      </c>
      <c r="N12" s="8">
        <f t="shared" si="0"/>
        <v>153000</v>
      </c>
    </row>
    <row r="14" spans="1:14" ht="25.95" customHeight="1" x14ac:dyDescent="0.3">
      <c r="A14" s="21" t="s">
        <v>87</v>
      </c>
      <c r="B14" s="22">
        <f t="shared" ref="B14:N14" si="1">SUM(B5:B12)</f>
        <v>51000</v>
      </c>
      <c r="C14" s="22">
        <f t="shared" si="1"/>
        <v>59000</v>
      </c>
      <c r="D14" s="22">
        <f t="shared" si="1"/>
        <v>69000</v>
      </c>
      <c r="E14" s="22">
        <f t="shared" si="1"/>
        <v>81000</v>
      </c>
      <c r="F14" s="22">
        <f t="shared" si="1"/>
        <v>116500</v>
      </c>
      <c r="G14" s="22">
        <f t="shared" si="1"/>
        <v>145000</v>
      </c>
      <c r="H14" s="22">
        <f t="shared" si="1"/>
        <v>176500</v>
      </c>
      <c r="I14" s="22">
        <f t="shared" si="1"/>
        <v>201000</v>
      </c>
      <c r="J14" s="22">
        <f t="shared" si="1"/>
        <v>222500</v>
      </c>
      <c r="K14" s="22">
        <f t="shared" si="1"/>
        <v>238000</v>
      </c>
      <c r="L14" s="22">
        <f t="shared" si="1"/>
        <v>248000</v>
      </c>
      <c r="M14" s="22">
        <f t="shared" si="1"/>
        <v>258500</v>
      </c>
      <c r="N14" s="14">
        <f t="shared" si="1"/>
        <v>1866000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workbookViewId="0">
      <selection activeCell="D16" sqref="D16"/>
    </sheetView>
  </sheetViews>
  <sheetFormatPr defaultRowHeight="14.4" x14ac:dyDescent="0.3"/>
  <cols>
    <col min="1" max="1" width="52" customWidth="1"/>
    <col min="2" max="14" width="14" customWidth="1"/>
  </cols>
  <sheetData>
    <row r="1" spans="1:14" ht="36" customHeight="1" x14ac:dyDescent="0.3">
      <c r="A1" s="37" t="s">
        <v>88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x14ac:dyDescent="0.3">
      <c r="A2" s="1" t="s">
        <v>89</v>
      </c>
    </row>
    <row r="4" spans="1:14" ht="28.05" customHeight="1" x14ac:dyDescent="0.3">
      <c r="A4" s="4" t="s">
        <v>90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39</v>
      </c>
    </row>
    <row r="5" spans="1:14" ht="19.95" customHeight="1" x14ac:dyDescent="0.3">
      <c r="A5" s="23" t="s">
        <v>91</v>
      </c>
      <c r="B5" s="25">
        <v>250000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150000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8">
        <f t="shared" ref="N5:N10" si="0">SUM(B5:M5)</f>
        <v>400000</v>
      </c>
    </row>
    <row r="6" spans="1:14" ht="19.95" customHeight="1" x14ac:dyDescent="0.3">
      <c r="A6" s="23" t="s">
        <v>92</v>
      </c>
      <c r="B6" s="25">
        <v>10000</v>
      </c>
      <c r="C6" s="25">
        <v>10000</v>
      </c>
      <c r="D6" s="25">
        <v>10000</v>
      </c>
      <c r="E6" s="25">
        <v>10000</v>
      </c>
      <c r="F6" s="25">
        <v>12000</v>
      </c>
      <c r="G6" s="25">
        <v>12000</v>
      </c>
      <c r="H6" s="25">
        <v>12000</v>
      </c>
      <c r="I6" s="25">
        <v>12000</v>
      </c>
      <c r="J6" s="25">
        <v>15000</v>
      </c>
      <c r="K6" s="25">
        <v>15000</v>
      </c>
      <c r="L6" s="25">
        <v>15000</v>
      </c>
      <c r="M6" s="25">
        <v>15000</v>
      </c>
      <c r="N6" s="8">
        <f t="shared" si="0"/>
        <v>148000</v>
      </c>
    </row>
    <row r="7" spans="1:14" ht="19.95" customHeight="1" x14ac:dyDescent="0.3">
      <c r="A7" s="23" t="s">
        <v>93</v>
      </c>
      <c r="B7" s="25">
        <v>50000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8">
        <f t="shared" si="0"/>
        <v>50000</v>
      </c>
    </row>
    <row r="8" spans="1:14" ht="19.95" customHeight="1" x14ac:dyDescent="0.3">
      <c r="A8" s="23" t="s">
        <v>94</v>
      </c>
      <c r="B8" s="25">
        <v>4500</v>
      </c>
      <c r="C8" s="25">
        <v>4500</v>
      </c>
      <c r="D8" s="25">
        <v>4500</v>
      </c>
      <c r="E8" s="25">
        <v>4500</v>
      </c>
      <c r="F8" s="25">
        <v>4500</v>
      </c>
      <c r="G8" s="25">
        <v>4500</v>
      </c>
      <c r="H8" s="25">
        <v>4500</v>
      </c>
      <c r="I8" s="25">
        <v>4500</v>
      </c>
      <c r="J8" s="25">
        <v>4500</v>
      </c>
      <c r="K8" s="25">
        <v>4500</v>
      </c>
      <c r="L8" s="25">
        <v>4500</v>
      </c>
      <c r="M8" s="25">
        <v>4500</v>
      </c>
      <c r="N8" s="8">
        <f t="shared" si="0"/>
        <v>54000</v>
      </c>
    </row>
    <row r="9" spans="1:14" ht="19.95" customHeight="1" x14ac:dyDescent="0.3">
      <c r="A9" s="23" t="s">
        <v>95</v>
      </c>
      <c r="B9" s="25">
        <v>40000</v>
      </c>
      <c r="C9" s="25">
        <v>0</v>
      </c>
      <c r="D9" s="25">
        <v>0</v>
      </c>
      <c r="E9" s="25">
        <v>15000</v>
      </c>
      <c r="F9" s="25">
        <v>0</v>
      </c>
      <c r="G9" s="25">
        <v>15000</v>
      </c>
      <c r="H9" s="25">
        <v>0</v>
      </c>
      <c r="I9" s="25">
        <v>15000</v>
      </c>
      <c r="J9" s="25">
        <v>0</v>
      </c>
      <c r="K9" s="25">
        <v>15000</v>
      </c>
      <c r="L9" s="25">
        <v>0</v>
      </c>
      <c r="M9" s="25">
        <v>15000</v>
      </c>
      <c r="N9" s="8">
        <f t="shared" si="0"/>
        <v>115000</v>
      </c>
    </row>
    <row r="10" spans="1:14" ht="19.95" customHeight="1" x14ac:dyDescent="0.3">
      <c r="A10" s="23" t="s">
        <v>96</v>
      </c>
      <c r="B10" s="25">
        <v>0</v>
      </c>
      <c r="C10" s="25">
        <v>0</v>
      </c>
      <c r="D10" s="25">
        <v>10000</v>
      </c>
      <c r="E10" s="25">
        <v>10000</v>
      </c>
      <c r="F10" s="25">
        <v>15000</v>
      </c>
      <c r="G10" s="25">
        <v>15000</v>
      </c>
      <c r="H10" s="25">
        <v>15000</v>
      </c>
      <c r="I10" s="25">
        <v>15000</v>
      </c>
      <c r="J10" s="25">
        <v>20000</v>
      </c>
      <c r="K10" s="25">
        <v>20000</v>
      </c>
      <c r="L10" s="25">
        <v>20000</v>
      </c>
      <c r="M10" s="25">
        <v>20000</v>
      </c>
      <c r="N10" s="8">
        <f t="shared" si="0"/>
        <v>160000</v>
      </c>
    </row>
    <row r="12" spans="1:14" ht="25.95" customHeight="1" x14ac:dyDescent="0.3">
      <c r="A12" s="21" t="s">
        <v>97</v>
      </c>
      <c r="B12" s="22">
        <f t="shared" ref="B12:N12" si="1">SUM(B5:B10)</f>
        <v>354500</v>
      </c>
      <c r="C12" s="22">
        <f t="shared" si="1"/>
        <v>14500</v>
      </c>
      <c r="D12" s="22">
        <f t="shared" si="1"/>
        <v>24500</v>
      </c>
      <c r="E12" s="22">
        <f t="shared" si="1"/>
        <v>39500</v>
      </c>
      <c r="F12" s="22">
        <f t="shared" si="1"/>
        <v>31500</v>
      </c>
      <c r="G12" s="22">
        <f t="shared" si="1"/>
        <v>46500</v>
      </c>
      <c r="H12" s="22">
        <f t="shared" si="1"/>
        <v>181500</v>
      </c>
      <c r="I12" s="22">
        <f t="shared" si="1"/>
        <v>46500</v>
      </c>
      <c r="J12" s="22">
        <f t="shared" si="1"/>
        <v>39500</v>
      </c>
      <c r="K12" s="22">
        <f t="shared" si="1"/>
        <v>54500</v>
      </c>
      <c r="L12" s="22">
        <f t="shared" si="1"/>
        <v>39500</v>
      </c>
      <c r="M12" s="22">
        <f t="shared" si="1"/>
        <v>54500</v>
      </c>
      <c r="N12" s="14">
        <f t="shared" si="1"/>
        <v>927000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"/>
  <sheetViews>
    <sheetView workbookViewId="0">
      <selection sqref="A1:N1"/>
    </sheetView>
  </sheetViews>
  <sheetFormatPr defaultRowHeight="14.4" x14ac:dyDescent="0.3"/>
  <cols>
    <col min="1" max="1" width="50" customWidth="1"/>
    <col min="2" max="14" width="14" customWidth="1"/>
  </cols>
  <sheetData>
    <row r="1" spans="1:14" ht="36" customHeight="1" x14ac:dyDescent="0.3">
      <c r="A1" s="37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x14ac:dyDescent="0.3">
      <c r="A2" s="1" t="s">
        <v>99</v>
      </c>
    </row>
    <row r="4" spans="1:14" ht="28.05" customHeight="1" x14ac:dyDescent="0.3">
      <c r="A4" s="4" t="s">
        <v>100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39</v>
      </c>
    </row>
    <row r="5" spans="1:14" ht="19.95" customHeight="1" x14ac:dyDescent="0.3">
      <c r="A5" s="23" t="s">
        <v>101</v>
      </c>
      <c r="B5" s="25">
        <v>8900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8">
        <f t="shared" ref="N5:N12" si="0">SUM(B5:M5)</f>
        <v>8900</v>
      </c>
    </row>
    <row r="6" spans="1:14" ht="19.95" customHeight="1" x14ac:dyDescent="0.3">
      <c r="A6" s="23" t="s">
        <v>102</v>
      </c>
      <c r="B6" s="25">
        <v>2100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8">
        <f t="shared" si="0"/>
        <v>2100</v>
      </c>
    </row>
    <row r="7" spans="1:14" ht="19.95" customHeight="1" x14ac:dyDescent="0.3">
      <c r="A7" s="23" t="s">
        <v>103</v>
      </c>
      <c r="B7" s="25">
        <v>4500</v>
      </c>
      <c r="C7" s="25">
        <v>4500</v>
      </c>
      <c r="D7" s="25">
        <v>4500</v>
      </c>
      <c r="E7" s="25">
        <v>4500</v>
      </c>
      <c r="F7" s="25">
        <v>7500</v>
      </c>
      <c r="G7" s="25">
        <v>7500</v>
      </c>
      <c r="H7" s="25">
        <v>7500</v>
      </c>
      <c r="I7" s="25">
        <v>7500</v>
      </c>
      <c r="J7" s="25">
        <v>7500</v>
      </c>
      <c r="K7" s="25">
        <v>7500</v>
      </c>
      <c r="L7" s="25">
        <v>7500</v>
      </c>
      <c r="M7" s="25">
        <v>7500</v>
      </c>
      <c r="N7" s="8">
        <f t="shared" si="0"/>
        <v>78000</v>
      </c>
    </row>
    <row r="8" spans="1:14" ht="19.95" customHeight="1" x14ac:dyDescent="0.3">
      <c r="A8" s="23" t="s">
        <v>104</v>
      </c>
      <c r="B8" s="25">
        <v>3000</v>
      </c>
      <c r="C8" s="25">
        <v>3000</v>
      </c>
      <c r="D8" s="25">
        <v>3000</v>
      </c>
      <c r="E8" s="25">
        <v>3000</v>
      </c>
      <c r="F8" s="25">
        <v>6000</v>
      </c>
      <c r="G8" s="25">
        <v>6000</v>
      </c>
      <c r="H8" s="25">
        <v>6000</v>
      </c>
      <c r="I8" s="25">
        <v>6000</v>
      </c>
      <c r="J8" s="25">
        <v>6000</v>
      </c>
      <c r="K8" s="25">
        <v>6000</v>
      </c>
      <c r="L8" s="25">
        <v>6000</v>
      </c>
      <c r="M8" s="25">
        <v>6000</v>
      </c>
      <c r="N8" s="8">
        <f t="shared" si="0"/>
        <v>60000</v>
      </c>
    </row>
    <row r="9" spans="1:14" ht="19.95" customHeight="1" x14ac:dyDescent="0.3">
      <c r="A9" s="23" t="s">
        <v>105</v>
      </c>
      <c r="B9" s="25">
        <v>4000</v>
      </c>
      <c r="C9" s="25">
        <v>4000</v>
      </c>
      <c r="D9" s="25">
        <v>4000</v>
      </c>
      <c r="E9" s="25">
        <v>4000</v>
      </c>
      <c r="F9" s="25">
        <v>6500</v>
      </c>
      <c r="G9" s="25">
        <v>6500</v>
      </c>
      <c r="H9" s="25">
        <v>6500</v>
      </c>
      <c r="I9" s="25">
        <v>6500</v>
      </c>
      <c r="J9" s="25">
        <v>6500</v>
      </c>
      <c r="K9" s="25">
        <v>6500</v>
      </c>
      <c r="L9" s="25">
        <v>6500</v>
      </c>
      <c r="M9" s="25">
        <v>6500</v>
      </c>
      <c r="N9" s="8">
        <f t="shared" si="0"/>
        <v>68000</v>
      </c>
    </row>
    <row r="10" spans="1:14" ht="19.95" customHeight="1" x14ac:dyDescent="0.3">
      <c r="A10" s="23" t="s">
        <v>106</v>
      </c>
      <c r="B10" s="25">
        <v>5500</v>
      </c>
      <c r="C10" s="25">
        <v>5500</v>
      </c>
      <c r="D10" s="25">
        <v>5500</v>
      </c>
      <c r="E10" s="25">
        <v>5500</v>
      </c>
      <c r="F10" s="25">
        <v>8000</v>
      </c>
      <c r="G10" s="25">
        <v>8000</v>
      </c>
      <c r="H10" s="25">
        <v>8000</v>
      </c>
      <c r="I10" s="25">
        <v>8000</v>
      </c>
      <c r="J10" s="25">
        <v>8000</v>
      </c>
      <c r="K10" s="25">
        <v>8000</v>
      </c>
      <c r="L10" s="25">
        <v>8000</v>
      </c>
      <c r="M10" s="25">
        <v>8000</v>
      </c>
      <c r="N10" s="8">
        <f t="shared" si="0"/>
        <v>86000</v>
      </c>
    </row>
    <row r="11" spans="1:14" ht="19.95" customHeight="1" x14ac:dyDescent="0.3">
      <c r="A11" s="23" t="s">
        <v>107</v>
      </c>
      <c r="B11" s="25">
        <v>1500</v>
      </c>
      <c r="C11" s="25">
        <v>1500</v>
      </c>
      <c r="D11" s="25">
        <v>1500</v>
      </c>
      <c r="E11" s="25">
        <v>1500</v>
      </c>
      <c r="F11" s="25">
        <v>2000</v>
      </c>
      <c r="G11" s="25">
        <v>2000</v>
      </c>
      <c r="H11" s="25">
        <v>2000</v>
      </c>
      <c r="I11" s="25">
        <v>2000</v>
      </c>
      <c r="J11" s="25">
        <v>2000</v>
      </c>
      <c r="K11" s="25">
        <v>2000</v>
      </c>
      <c r="L11" s="25">
        <v>2000</v>
      </c>
      <c r="M11" s="25">
        <v>2000</v>
      </c>
      <c r="N11" s="8">
        <f t="shared" si="0"/>
        <v>22000</v>
      </c>
    </row>
    <row r="12" spans="1:14" ht="19.95" customHeight="1" x14ac:dyDescent="0.3">
      <c r="A12" s="23" t="s">
        <v>108</v>
      </c>
      <c r="B12" s="25">
        <v>15000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8">
        <f t="shared" si="0"/>
        <v>15000</v>
      </c>
    </row>
    <row r="14" spans="1:14" ht="25.95" customHeight="1" x14ac:dyDescent="0.3">
      <c r="A14" s="21" t="s">
        <v>109</v>
      </c>
      <c r="B14" s="22">
        <f t="shared" ref="B14:N14" si="1">SUM(B5:B12)</f>
        <v>44500</v>
      </c>
      <c r="C14" s="22">
        <f t="shared" si="1"/>
        <v>18500</v>
      </c>
      <c r="D14" s="22">
        <f t="shared" si="1"/>
        <v>18500</v>
      </c>
      <c r="E14" s="22">
        <f t="shared" si="1"/>
        <v>18500</v>
      </c>
      <c r="F14" s="22">
        <f t="shared" si="1"/>
        <v>30000</v>
      </c>
      <c r="G14" s="22">
        <f t="shared" si="1"/>
        <v>30000</v>
      </c>
      <c r="H14" s="22">
        <f t="shared" si="1"/>
        <v>30000</v>
      </c>
      <c r="I14" s="22">
        <f t="shared" si="1"/>
        <v>30000</v>
      </c>
      <c r="J14" s="22">
        <f t="shared" si="1"/>
        <v>30000</v>
      </c>
      <c r="K14" s="22">
        <f t="shared" si="1"/>
        <v>30000</v>
      </c>
      <c r="L14" s="22">
        <f t="shared" si="1"/>
        <v>30000</v>
      </c>
      <c r="M14" s="22">
        <f t="shared" si="1"/>
        <v>30000</v>
      </c>
      <c r="N14" s="14">
        <f t="shared" si="1"/>
        <v>340000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selection sqref="A1:G1"/>
    </sheetView>
  </sheetViews>
  <sheetFormatPr defaultRowHeight="14.4" x14ac:dyDescent="0.3"/>
  <cols>
    <col min="1" max="1" width="46" customWidth="1"/>
    <col min="2" max="2" width="30" customWidth="1"/>
    <col min="3" max="3" width="22" customWidth="1"/>
    <col min="4" max="4" width="14" customWidth="1"/>
    <col min="5" max="5" width="20" customWidth="1"/>
    <col min="6" max="7" width="26" customWidth="1"/>
  </cols>
  <sheetData>
    <row r="1" spans="1:7" ht="36" customHeight="1" x14ac:dyDescent="0.3">
      <c r="A1" s="37" t="s">
        <v>110</v>
      </c>
      <c r="B1" s="38"/>
      <c r="C1" s="38"/>
      <c r="D1" s="38"/>
      <c r="E1" s="38"/>
      <c r="F1" s="38"/>
      <c r="G1" s="38"/>
    </row>
    <row r="2" spans="1:7" x14ac:dyDescent="0.3">
      <c r="A2" s="1" t="s">
        <v>111</v>
      </c>
    </row>
    <row r="4" spans="1:7" x14ac:dyDescent="0.3">
      <c r="A4" s="30" t="s">
        <v>112</v>
      </c>
      <c r="E4" s="30" t="s">
        <v>113</v>
      </c>
    </row>
    <row r="5" spans="1:7" ht="24" customHeight="1" x14ac:dyDescent="0.3">
      <c r="A5" s="31" t="s">
        <v>114</v>
      </c>
      <c r="B5" s="31" t="s">
        <v>115</v>
      </c>
      <c r="C5" s="32" t="s">
        <v>116</v>
      </c>
      <c r="E5" s="33" t="s">
        <v>117</v>
      </c>
      <c r="F5" s="33" t="s">
        <v>118</v>
      </c>
      <c r="G5" s="33" t="s">
        <v>119</v>
      </c>
    </row>
    <row r="6" spans="1:7" x14ac:dyDescent="0.3">
      <c r="A6" s="23" t="s">
        <v>120</v>
      </c>
      <c r="B6" s="23" t="s">
        <v>121</v>
      </c>
      <c r="C6" s="34">
        <v>0.3</v>
      </c>
      <c r="E6" s="35">
        <v>1000</v>
      </c>
      <c r="F6" s="17">
        <f>E6*$C$19</f>
        <v>4800.0000000000009</v>
      </c>
      <c r="G6" s="17">
        <f>F6*12</f>
        <v>57600.000000000015</v>
      </c>
    </row>
    <row r="7" spans="1:7" x14ac:dyDescent="0.3">
      <c r="A7" s="23" t="s">
        <v>122</v>
      </c>
      <c r="B7" s="23" t="s">
        <v>123</v>
      </c>
      <c r="C7" s="34">
        <v>1.5</v>
      </c>
      <c r="E7" s="35">
        <v>5000</v>
      </c>
      <c r="F7" s="17">
        <f>E7*$C$19</f>
        <v>24000.000000000004</v>
      </c>
      <c r="G7" s="17">
        <f>F7*12</f>
        <v>288000.00000000006</v>
      </c>
    </row>
    <row r="8" spans="1:7" x14ac:dyDescent="0.3">
      <c r="A8" s="23" t="s">
        <v>124</v>
      </c>
      <c r="B8" s="23" t="s">
        <v>125</v>
      </c>
      <c r="C8" s="34">
        <v>1</v>
      </c>
      <c r="E8" s="35">
        <v>15000</v>
      </c>
      <c r="F8" s="17">
        <f>E8*$C$19</f>
        <v>72000.000000000015</v>
      </c>
      <c r="G8" s="17">
        <f>F8*12</f>
        <v>864000.00000000023</v>
      </c>
    </row>
    <row r="9" spans="1:7" x14ac:dyDescent="0.3">
      <c r="A9" s="23" t="s">
        <v>126</v>
      </c>
      <c r="B9" s="23" t="s">
        <v>127</v>
      </c>
      <c r="C9" s="34">
        <v>4.5</v>
      </c>
      <c r="E9" s="35">
        <v>50000</v>
      </c>
      <c r="F9" s="17">
        <f>E9*$C$19</f>
        <v>240000.00000000003</v>
      </c>
      <c r="G9" s="17">
        <f>F9*12</f>
        <v>2880000.0000000005</v>
      </c>
    </row>
    <row r="10" spans="1:7" x14ac:dyDescent="0.3">
      <c r="A10" s="23" t="s">
        <v>128</v>
      </c>
      <c r="B10" s="23" t="s">
        <v>129</v>
      </c>
      <c r="C10" s="34">
        <v>5</v>
      </c>
      <c r="E10" s="35">
        <v>100000</v>
      </c>
      <c r="F10" s="17">
        <f>E10*$C$19</f>
        <v>480000.00000000006</v>
      </c>
      <c r="G10" s="17">
        <f>F10*12</f>
        <v>5760000.0000000009</v>
      </c>
    </row>
    <row r="11" spans="1:7" x14ac:dyDescent="0.3">
      <c r="A11" s="23" t="s">
        <v>130</v>
      </c>
      <c r="B11" s="23" t="s">
        <v>131</v>
      </c>
      <c r="C11" s="34">
        <v>1.2</v>
      </c>
    </row>
    <row r="12" spans="1:7" ht="24" customHeight="1" x14ac:dyDescent="0.3">
      <c r="A12" s="21" t="s">
        <v>132</v>
      </c>
      <c r="B12" s="29"/>
      <c r="C12" s="36">
        <f>SUM(C6:C11)</f>
        <v>13.5</v>
      </c>
    </row>
    <row r="14" spans="1:7" x14ac:dyDescent="0.3">
      <c r="A14" s="30" t="s">
        <v>133</v>
      </c>
    </row>
    <row r="15" spans="1:7" ht="24" customHeight="1" x14ac:dyDescent="0.3">
      <c r="A15" s="31" t="s">
        <v>134</v>
      </c>
      <c r="B15" s="31" t="s">
        <v>135</v>
      </c>
      <c r="C15" s="32" t="s">
        <v>136</v>
      </c>
    </row>
    <row r="16" spans="1:7" x14ac:dyDescent="0.3">
      <c r="A16" s="23" t="s">
        <v>137</v>
      </c>
      <c r="B16" s="23" t="s">
        <v>138</v>
      </c>
      <c r="C16" s="34">
        <v>3.6</v>
      </c>
    </row>
    <row r="17" spans="1:3" x14ac:dyDescent="0.3">
      <c r="A17" s="23" t="s">
        <v>139</v>
      </c>
      <c r="B17" s="23" t="s">
        <v>140</v>
      </c>
      <c r="C17" s="34">
        <v>0.2</v>
      </c>
    </row>
    <row r="18" spans="1:3" x14ac:dyDescent="0.3">
      <c r="A18" s="23" t="s">
        <v>141</v>
      </c>
      <c r="B18" s="23" t="s">
        <v>142</v>
      </c>
      <c r="C18" s="34">
        <v>1</v>
      </c>
    </row>
    <row r="19" spans="1:3" ht="24" customHeight="1" x14ac:dyDescent="0.3">
      <c r="A19" s="21" t="s">
        <v>143</v>
      </c>
      <c r="B19" s="29"/>
      <c r="C19" s="36">
        <f>SUM(C16:C18)</f>
        <v>4.8000000000000007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Team Expansion</vt:lpstr>
      <vt:lpstr>Cloud &amp; Infra</vt:lpstr>
      <vt:lpstr>Fintech APIs &amp; Rails</vt:lpstr>
      <vt:lpstr>Security &amp; Compliance</vt:lpstr>
      <vt:lpstr>Tooling &amp; Licences</vt:lpstr>
      <vt:lpstr>Unit Economics &amp;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veerkhanna97@outlook.com</cp:lastModifiedBy>
  <dcterms:created xsi:type="dcterms:W3CDTF">2026-09-20T09:08:44Z</dcterms:created>
  <dcterms:modified xsi:type="dcterms:W3CDTF">2026-09-20T09:22:56Z</dcterms:modified>
</cp:coreProperties>
</file>